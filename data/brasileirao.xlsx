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ão\Documents\Projetos Joao\"/>
    </mc:Choice>
  </mc:AlternateContent>
  <xr:revisionPtr revIDLastSave="0" documentId="13_ncr:1_{390BB27D-1E9F-47FC-8B49-C37123777A7C}" xr6:coauthVersionLast="47" xr6:coauthVersionMax="47" xr10:uidLastSave="{00000000-0000-0000-0000-000000000000}"/>
  <bookViews>
    <workbookView xWindow="20370" yWindow="-120" windowWidth="20730" windowHeight="11040" xr2:uid="{4643EFC1-5448-4E37-8C55-D8AA6FFF3501}"/>
  </bookViews>
  <sheets>
    <sheet name="brasileirao" sheetId="1" r:id="rId1"/>
    <sheet name="Soma de Pontos" sheetId="2" r:id="rId2"/>
    <sheet name="Gols" sheetId="5" r:id="rId3"/>
    <sheet name="Gols Tomados" sheetId="6" r:id="rId4"/>
    <sheet name="Saldo de Gols" sheetId="7" r:id="rId5"/>
    <sheet name="Média de Pontos" sheetId="8" r:id="rId6"/>
    <sheet name="Compara Gol e Pontos" sheetId="10" r:id="rId7"/>
    <sheet name="Grafico Comparaçao" sheetId="12" r:id="rId8"/>
  </sheet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3" i="1"/>
  <c r="L4" i="1"/>
  <c r="L5" i="1"/>
  <c r="L2" i="1"/>
</calcChain>
</file>

<file path=xl/sharedStrings.xml><?xml version="1.0" encoding="utf-8"?>
<sst xmlns="http://schemas.openxmlformats.org/spreadsheetml/2006/main" count="789" uniqueCount="63">
  <si>
    <t>Cruzeiro</t>
  </si>
  <si>
    <t>Santos</t>
  </si>
  <si>
    <t>SÃ£o Paulo</t>
  </si>
  <si>
    <t>SÃ£o Caetano</t>
  </si>
  <si>
    <t>Coritiba</t>
  </si>
  <si>
    <t>AtlÃ©tico Mineiro</t>
  </si>
  <si>
    <t>Internacional</t>
  </si>
  <si>
    <t>Flamengo</t>
  </si>
  <si>
    <t>GoiÃ¡s</t>
  </si>
  <si>
    <t>ParanÃ¡</t>
  </si>
  <si>
    <t>Figueirense</t>
  </si>
  <si>
    <t>Athletico Paranaense</t>
  </si>
  <si>
    <t>Guarani</t>
  </si>
  <si>
    <t>CriciÃºma</t>
  </si>
  <si>
    <t>Corinthians</t>
  </si>
  <si>
    <t>VitÃ³ria</t>
  </si>
  <si>
    <t>Vasco</t>
  </si>
  <si>
    <t>Juventude</t>
  </si>
  <si>
    <t>Fluminense</t>
  </si>
  <si>
    <t>Ponte Preta</t>
  </si>
  <si>
    <t>GrÃªmio</t>
  </si>
  <si>
    <t>Paysandu</t>
  </si>
  <si>
    <t>Fortaleza</t>
  </si>
  <si>
    <t>Bahia</t>
  </si>
  <si>
    <t>Palmeiras</t>
  </si>
  <si>
    <t>Botafogo</t>
  </si>
  <si>
    <t>Brasiliense</t>
  </si>
  <si>
    <t>Santa Cruz</t>
  </si>
  <si>
    <t>Sport</t>
  </si>
  <si>
    <t>NÃ¡utico</t>
  </si>
  <si>
    <t>AmÃ©rica-RN</t>
  </si>
  <si>
    <t>Portuguesa</t>
  </si>
  <si>
    <t>Ipatinga</t>
  </si>
  <si>
    <t>AvaÃ­</t>
  </si>
  <si>
    <t>GrÃªmio Barueri</t>
  </si>
  <si>
    <t>Santo AndrÃ©</t>
  </si>
  <si>
    <t>CearÃ¡</t>
  </si>
  <si>
    <t>AtlÃ©tico Goianiense</t>
  </si>
  <si>
    <t>AmÃ©rica Mineiro</t>
  </si>
  <si>
    <t>Chapecoense</t>
  </si>
  <si>
    <t>Joinville</t>
  </si>
  <si>
    <t>CSA</t>
  </si>
  <si>
    <t>Red Bull Bragantino</t>
  </si>
  <si>
    <t>CuiabÃ¡</t>
  </si>
  <si>
    <t>Rótulos de Linha</t>
  </si>
  <si>
    <t>Total Geral</t>
  </si>
  <si>
    <t>Soma de points</t>
  </si>
  <si>
    <t>Soma de goals</t>
  </si>
  <si>
    <t>Soma de goals_taken</t>
  </si>
  <si>
    <t>Soma de goals_diff</t>
  </si>
  <si>
    <t>Média de points</t>
  </si>
  <si>
    <t>Temporada</t>
  </si>
  <si>
    <t>Posição</t>
  </si>
  <si>
    <t>Equipe</t>
  </si>
  <si>
    <t>Pontos</t>
  </si>
  <si>
    <t>Jogos</t>
  </si>
  <si>
    <t>Vitórias</t>
  </si>
  <si>
    <t>Empates</t>
  </si>
  <si>
    <t>Derrotas</t>
  </si>
  <si>
    <t>Gols</t>
  </si>
  <si>
    <t>Gols Contra</t>
  </si>
  <si>
    <t>Saldo de Gols</t>
  </si>
  <si>
    <t>Eficiencia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</si>
</sst>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[Brasil.xlsx]Soma de Pontos!Tabela dinâmica1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'Soma de Pontos'!$B$3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'Soma de Pontos'!$A$4:$A$48</c:f>
              <c:strCache>
                <c:ptCount val="44"/>
                <c:pt idx="0">
                  <c:v>SÃ£o Paulo</c:v>
                </c:pt>
                <c:pt idx="1">
                  <c:v>Flamengo</c:v>
                </c:pt>
                <c:pt idx="2">
                  <c:v>Internacional</c:v>
                </c:pt>
                <c:pt idx="3">
                  <c:v>Corinthians</c:v>
                </c:pt>
                <c:pt idx="4">
                  <c:v>Palmeiras</c:v>
                </c:pt>
                <c:pt idx="5">
                  <c:v>Santos</c:v>
                </c:pt>
                <c:pt idx="6">
                  <c:v>AtlÃ©tico Mineiro</c:v>
                </c:pt>
                <c:pt idx="7">
                  <c:v>Fluminense</c:v>
                </c:pt>
                <c:pt idx="8">
                  <c:v>GrÃªmio</c:v>
                </c:pt>
                <c:pt idx="9">
                  <c:v>Athletico Paranaense</c:v>
                </c:pt>
                <c:pt idx="10">
                  <c:v>Cruzeiro</c:v>
                </c:pt>
                <c:pt idx="11">
                  <c:v>Botafogo</c:v>
                </c:pt>
                <c:pt idx="12">
                  <c:v>Vasco</c:v>
                </c:pt>
                <c:pt idx="13">
                  <c:v>GoiÃ¡s</c:v>
                </c:pt>
                <c:pt idx="14">
                  <c:v>Coritiba</c:v>
                </c:pt>
                <c:pt idx="15">
                  <c:v>Bahia</c:v>
                </c:pt>
                <c:pt idx="16">
                  <c:v>Figueirense</c:v>
                </c:pt>
                <c:pt idx="17">
                  <c:v>VitÃ³ria</c:v>
                </c:pt>
                <c:pt idx="18">
                  <c:v>Sport</c:v>
                </c:pt>
                <c:pt idx="19">
                  <c:v>Fortaleza</c:v>
                </c:pt>
                <c:pt idx="20">
                  <c:v>Ponte Preta</c:v>
                </c:pt>
                <c:pt idx="21">
                  <c:v>Juventude</c:v>
                </c:pt>
                <c:pt idx="22">
                  <c:v>AtlÃ©tico Goianiense</c:v>
                </c:pt>
                <c:pt idx="23">
                  <c:v>CearÃ¡</c:v>
                </c:pt>
                <c:pt idx="24">
                  <c:v>ParanÃ¡</c:v>
                </c:pt>
                <c:pt idx="25">
                  <c:v>Chapecoense</c:v>
                </c:pt>
                <c:pt idx="26">
                  <c:v>AvaÃ­</c:v>
                </c:pt>
                <c:pt idx="27">
                  <c:v>Red Bull Bragantino</c:v>
                </c:pt>
                <c:pt idx="28">
                  <c:v>AmÃ©rica Mineiro</c:v>
                </c:pt>
                <c:pt idx="29">
                  <c:v>CriciÃºma</c:v>
                </c:pt>
                <c:pt idx="30">
                  <c:v>SÃ£o Caetano</c:v>
                </c:pt>
                <c:pt idx="31">
                  <c:v>NÃ¡utico</c:v>
                </c:pt>
                <c:pt idx="32">
                  <c:v>CuiabÃ¡</c:v>
                </c:pt>
                <c:pt idx="33">
                  <c:v>Guarani</c:v>
                </c:pt>
                <c:pt idx="34">
                  <c:v>Paysandu</c:v>
                </c:pt>
                <c:pt idx="35">
                  <c:v>Portuguesa</c:v>
                </c:pt>
                <c:pt idx="36">
                  <c:v>GrÃªmio Barueri</c:v>
                </c:pt>
                <c:pt idx="37">
                  <c:v>Santa Cruz</c:v>
                </c:pt>
                <c:pt idx="38">
                  <c:v>Brasiliense</c:v>
                </c:pt>
                <c:pt idx="39">
                  <c:v>Santo AndrÃ©</c:v>
                </c:pt>
                <c:pt idx="40">
                  <c:v>Ipatinga</c:v>
                </c:pt>
                <c:pt idx="41">
                  <c:v>CSA</c:v>
                </c:pt>
                <c:pt idx="42">
                  <c:v>Joinville</c:v>
                </c:pt>
                <c:pt idx="43">
                  <c:v>AmÃ©rica-RN</c:v>
                </c:pt>
              </c:strCache>
            </c:strRef>
          </c:cat>
          <c:val>
            <c:numRef>
              <c:f>'Soma de Pontos'!$B$4:$B$48</c:f>
              <c:numCache>
                <c:formatCode>General</c:formatCode>
                <c:ptCount val="44"/>
                <c:pt idx="0">
                  <c:v>1383</c:v>
                </c:pt>
                <c:pt idx="1">
                  <c:v>1349</c:v>
                </c:pt>
                <c:pt idx="2">
                  <c:v>1286</c:v>
                </c:pt>
                <c:pt idx="3">
                  <c:v>1265</c:v>
                </c:pt>
                <c:pt idx="4">
                  <c:v>1250</c:v>
                </c:pt>
                <c:pt idx="5">
                  <c:v>1237</c:v>
                </c:pt>
                <c:pt idx="6">
                  <c:v>1227</c:v>
                </c:pt>
                <c:pt idx="7">
                  <c:v>1227</c:v>
                </c:pt>
                <c:pt idx="8">
                  <c:v>1178</c:v>
                </c:pt>
                <c:pt idx="9">
                  <c:v>1158</c:v>
                </c:pt>
                <c:pt idx="10">
                  <c:v>1126</c:v>
                </c:pt>
                <c:pt idx="11">
                  <c:v>1010</c:v>
                </c:pt>
                <c:pt idx="12">
                  <c:v>862</c:v>
                </c:pt>
                <c:pt idx="13">
                  <c:v>769</c:v>
                </c:pt>
                <c:pt idx="14">
                  <c:v>718</c:v>
                </c:pt>
                <c:pt idx="15">
                  <c:v>555</c:v>
                </c:pt>
                <c:pt idx="16">
                  <c:v>550</c:v>
                </c:pt>
                <c:pt idx="17">
                  <c:v>515</c:v>
                </c:pt>
                <c:pt idx="18">
                  <c:v>500</c:v>
                </c:pt>
                <c:pt idx="19">
                  <c:v>471</c:v>
                </c:pt>
                <c:pt idx="20">
                  <c:v>432</c:v>
                </c:pt>
                <c:pt idx="21">
                  <c:v>379</c:v>
                </c:pt>
                <c:pt idx="22">
                  <c:v>325</c:v>
                </c:pt>
                <c:pt idx="23">
                  <c:v>308</c:v>
                </c:pt>
                <c:pt idx="24">
                  <c:v>304</c:v>
                </c:pt>
                <c:pt idx="25">
                  <c:v>287</c:v>
                </c:pt>
                <c:pt idx="26">
                  <c:v>271</c:v>
                </c:pt>
                <c:pt idx="27">
                  <c:v>259</c:v>
                </c:pt>
                <c:pt idx="28">
                  <c:v>235</c:v>
                </c:pt>
                <c:pt idx="29">
                  <c:v>226</c:v>
                </c:pt>
                <c:pt idx="30">
                  <c:v>215</c:v>
                </c:pt>
                <c:pt idx="31">
                  <c:v>200</c:v>
                </c:pt>
                <c:pt idx="32">
                  <c:v>169</c:v>
                </c:pt>
                <c:pt idx="33">
                  <c:v>147</c:v>
                </c:pt>
                <c:pt idx="34">
                  <c:v>146</c:v>
                </c:pt>
                <c:pt idx="35">
                  <c:v>127</c:v>
                </c:pt>
                <c:pt idx="36">
                  <c:v>77</c:v>
                </c:pt>
                <c:pt idx="37">
                  <c:v>59</c:v>
                </c:pt>
                <c:pt idx="38">
                  <c:v>41</c:v>
                </c:pt>
                <c:pt idx="39">
                  <c:v>41</c:v>
                </c:pt>
                <c:pt idx="40">
                  <c:v>35</c:v>
                </c:pt>
                <c:pt idx="41">
                  <c:v>32</c:v>
                </c:pt>
                <c:pt idx="42">
                  <c:v>31</c:v>
                </c:pt>
                <c:pt idx="4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344-8CE8-2AEF9C0BA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6032"/>
        <c:axId val="160126512"/>
      </c:barChart>
      <c:catAx>
        <c:axId val="16012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26512"/>
        <c:crosses val="autoZero"/>
        <c:auto val="1"/>
        <c:lblAlgn val="ctr"/>
        <c:lblOffset val="100"/>
        <c:noMultiLvlLbl val="0"/>
      </c:catAx>
      <c:valAx>
        <c:axId val="16012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2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[Brasil.xlsx]Gols!Tabela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Gols!$B$3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Gols!$A$4:$A$48</c:f>
              <c:strCache>
                <c:ptCount val="44"/>
                <c:pt idx="0">
                  <c:v>Flamengo</c:v>
                </c:pt>
                <c:pt idx="1">
                  <c:v>SÃ£o Paulo</c:v>
                </c:pt>
                <c:pt idx="2">
                  <c:v>AtlÃ©tico Mineiro</c:v>
                </c:pt>
                <c:pt idx="3">
                  <c:v>Santos</c:v>
                </c:pt>
                <c:pt idx="4">
                  <c:v>Palmeiras</c:v>
                </c:pt>
                <c:pt idx="5">
                  <c:v>Fluminense</c:v>
                </c:pt>
                <c:pt idx="6">
                  <c:v>Internacional</c:v>
                </c:pt>
                <c:pt idx="7">
                  <c:v>Athletico Paranaense</c:v>
                </c:pt>
                <c:pt idx="8">
                  <c:v>GrÃªmio</c:v>
                </c:pt>
                <c:pt idx="9">
                  <c:v>Cruzeiro</c:v>
                </c:pt>
                <c:pt idx="10">
                  <c:v>Corinthians</c:v>
                </c:pt>
                <c:pt idx="11">
                  <c:v>Botafogo</c:v>
                </c:pt>
                <c:pt idx="12">
                  <c:v>Vasco</c:v>
                </c:pt>
                <c:pt idx="13">
                  <c:v>GoiÃ¡s</c:v>
                </c:pt>
                <c:pt idx="14">
                  <c:v>Coritiba</c:v>
                </c:pt>
                <c:pt idx="15">
                  <c:v>VitÃ³ria</c:v>
                </c:pt>
                <c:pt idx="16">
                  <c:v>Figueirense</c:v>
                </c:pt>
                <c:pt idx="17">
                  <c:v>Bahia</c:v>
                </c:pt>
                <c:pt idx="18">
                  <c:v>Sport</c:v>
                </c:pt>
                <c:pt idx="19">
                  <c:v>Fortaleza</c:v>
                </c:pt>
                <c:pt idx="20">
                  <c:v>Ponte Preta</c:v>
                </c:pt>
                <c:pt idx="21">
                  <c:v>Juventude</c:v>
                </c:pt>
                <c:pt idx="22">
                  <c:v>AtlÃ©tico Goianiense</c:v>
                </c:pt>
                <c:pt idx="23">
                  <c:v>ParanÃ¡</c:v>
                </c:pt>
                <c:pt idx="24">
                  <c:v>CearÃ¡</c:v>
                </c:pt>
                <c:pt idx="25">
                  <c:v>AvaÃ­</c:v>
                </c:pt>
                <c:pt idx="26">
                  <c:v>Chapecoense</c:v>
                </c:pt>
                <c:pt idx="27">
                  <c:v>Red Bull Bragantino</c:v>
                </c:pt>
                <c:pt idx="28">
                  <c:v>CriciÃºma</c:v>
                </c:pt>
                <c:pt idx="29">
                  <c:v>AmÃ©rica Mineiro</c:v>
                </c:pt>
                <c:pt idx="30">
                  <c:v>NÃ¡utico</c:v>
                </c:pt>
                <c:pt idx="31">
                  <c:v>SÃ£o Caetano</c:v>
                </c:pt>
                <c:pt idx="32">
                  <c:v>Paysandu</c:v>
                </c:pt>
                <c:pt idx="33">
                  <c:v>Guarani</c:v>
                </c:pt>
                <c:pt idx="34">
                  <c:v>Portuguesa</c:v>
                </c:pt>
                <c:pt idx="35">
                  <c:v>CuiabÃ¡</c:v>
                </c:pt>
                <c:pt idx="36">
                  <c:v>GrÃªmio Barueri</c:v>
                </c:pt>
                <c:pt idx="37">
                  <c:v>Santa Cruz</c:v>
                </c:pt>
                <c:pt idx="38">
                  <c:v>Brasiliense</c:v>
                </c:pt>
                <c:pt idx="39">
                  <c:v>Santo AndrÃ©</c:v>
                </c:pt>
                <c:pt idx="40">
                  <c:v>Ipatinga</c:v>
                </c:pt>
                <c:pt idx="41">
                  <c:v>Joinville</c:v>
                </c:pt>
                <c:pt idx="42">
                  <c:v>AmÃ©rica-RN</c:v>
                </c:pt>
                <c:pt idx="43">
                  <c:v>CSA</c:v>
                </c:pt>
              </c:strCache>
            </c:strRef>
          </c:cat>
          <c:val>
            <c:numRef>
              <c:f>Gols!$B$4:$B$48</c:f>
              <c:numCache>
                <c:formatCode>General</c:formatCode>
                <c:ptCount val="44"/>
                <c:pt idx="0">
                  <c:v>1230</c:v>
                </c:pt>
                <c:pt idx="1">
                  <c:v>1216</c:v>
                </c:pt>
                <c:pt idx="2">
                  <c:v>1178</c:v>
                </c:pt>
                <c:pt idx="3">
                  <c:v>1178</c:v>
                </c:pt>
                <c:pt idx="4">
                  <c:v>1137</c:v>
                </c:pt>
                <c:pt idx="5">
                  <c:v>1131</c:v>
                </c:pt>
                <c:pt idx="6">
                  <c:v>1095</c:v>
                </c:pt>
                <c:pt idx="7">
                  <c:v>1073</c:v>
                </c:pt>
                <c:pt idx="8">
                  <c:v>1063</c:v>
                </c:pt>
                <c:pt idx="9">
                  <c:v>1055</c:v>
                </c:pt>
                <c:pt idx="10">
                  <c:v>1053</c:v>
                </c:pt>
                <c:pt idx="11">
                  <c:v>935</c:v>
                </c:pt>
                <c:pt idx="12">
                  <c:v>830</c:v>
                </c:pt>
                <c:pt idx="13">
                  <c:v>789</c:v>
                </c:pt>
                <c:pt idx="14">
                  <c:v>693</c:v>
                </c:pt>
                <c:pt idx="15">
                  <c:v>537</c:v>
                </c:pt>
                <c:pt idx="16">
                  <c:v>530</c:v>
                </c:pt>
                <c:pt idx="17">
                  <c:v>529</c:v>
                </c:pt>
                <c:pt idx="18">
                  <c:v>463</c:v>
                </c:pt>
                <c:pt idx="19">
                  <c:v>427</c:v>
                </c:pt>
                <c:pt idx="20">
                  <c:v>414</c:v>
                </c:pt>
                <c:pt idx="21">
                  <c:v>381</c:v>
                </c:pt>
                <c:pt idx="22">
                  <c:v>317</c:v>
                </c:pt>
                <c:pt idx="23">
                  <c:v>312</c:v>
                </c:pt>
                <c:pt idx="24">
                  <c:v>277</c:v>
                </c:pt>
                <c:pt idx="25">
                  <c:v>274</c:v>
                </c:pt>
                <c:pt idx="26">
                  <c:v>261</c:v>
                </c:pt>
                <c:pt idx="27">
                  <c:v>247</c:v>
                </c:pt>
                <c:pt idx="28">
                  <c:v>237</c:v>
                </c:pt>
                <c:pt idx="29">
                  <c:v>227</c:v>
                </c:pt>
                <c:pt idx="30">
                  <c:v>224</c:v>
                </c:pt>
                <c:pt idx="31">
                  <c:v>209</c:v>
                </c:pt>
                <c:pt idx="32">
                  <c:v>193</c:v>
                </c:pt>
                <c:pt idx="33">
                  <c:v>140</c:v>
                </c:pt>
                <c:pt idx="34">
                  <c:v>137</c:v>
                </c:pt>
                <c:pt idx="35">
                  <c:v>134</c:v>
                </c:pt>
                <c:pt idx="36">
                  <c:v>98</c:v>
                </c:pt>
                <c:pt idx="37">
                  <c:v>86</c:v>
                </c:pt>
                <c:pt idx="38">
                  <c:v>47</c:v>
                </c:pt>
                <c:pt idx="39">
                  <c:v>46</c:v>
                </c:pt>
                <c:pt idx="40">
                  <c:v>37</c:v>
                </c:pt>
                <c:pt idx="41">
                  <c:v>26</c:v>
                </c:pt>
                <c:pt idx="42">
                  <c:v>24</c:v>
                </c:pt>
                <c:pt idx="4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E-4DD8-B9D3-B73BBA9CD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7280"/>
        <c:axId val="21829680"/>
      </c:barChart>
      <c:catAx>
        <c:axId val="218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29680"/>
        <c:crosses val="autoZero"/>
        <c:auto val="1"/>
        <c:lblAlgn val="ctr"/>
        <c:lblOffset val="100"/>
        <c:noMultiLvlLbl val="0"/>
      </c:catAx>
      <c:valAx>
        <c:axId val="218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[Brasil.xlsx]Gols Tomados!Tabela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'Gols Tomados'!$B$3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'Gols Tomados'!$A$4:$A$48</c:f>
              <c:strCache>
                <c:ptCount val="44"/>
                <c:pt idx="0">
                  <c:v>Fluminense</c:v>
                </c:pt>
                <c:pt idx="1">
                  <c:v>AtlÃ©tico Mineiro</c:v>
                </c:pt>
                <c:pt idx="2">
                  <c:v>Athletico Paranaense</c:v>
                </c:pt>
                <c:pt idx="3">
                  <c:v>Flamengo</c:v>
                </c:pt>
                <c:pt idx="4">
                  <c:v>Santos</c:v>
                </c:pt>
                <c:pt idx="5">
                  <c:v>Vasco</c:v>
                </c:pt>
                <c:pt idx="6">
                  <c:v>SÃ£o Paulo</c:v>
                </c:pt>
                <c:pt idx="7">
                  <c:v>Botafogo</c:v>
                </c:pt>
                <c:pt idx="8">
                  <c:v>Cruzeiro</c:v>
                </c:pt>
                <c:pt idx="9">
                  <c:v>Internacional</c:v>
                </c:pt>
                <c:pt idx="10">
                  <c:v>GrÃªmio</c:v>
                </c:pt>
                <c:pt idx="11">
                  <c:v>Corinthians</c:v>
                </c:pt>
                <c:pt idx="12">
                  <c:v>Palmeiras</c:v>
                </c:pt>
                <c:pt idx="13">
                  <c:v>GoiÃ¡s</c:v>
                </c:pt>
                <c:pt idx="14">
                  <c:v>Coritiba</c:v>
                </c:pt>
                <c:pt idx="15">
                  <c:v>VitÃ³ria</c:v>
                </c:pt>
                <c:pt idx="16">
                  <c:v>Figueirense</c:v>
                </c:pt>
                <c:pt idx="17">
                  <c:v>Bahia</c:v>
                </c:pt>
                <c:pt idx="18">
                  <c:v>Sport</c:v>
                </c:pt>
                <c:pt idx="19">
                  <c:v>Ponte Preta</c:v>
                </c:pt>
                <c:pt idx="20">
                  <c:v>Juventude</c:v>
                </c:pt>
                <c:pt idx="21">
                  <c:v>Fortaleza</c:v>
                </c:pt>
                <c:pt idx="22">
                  <c:v>AtlÃ©tico Goianiense</c:v>
                </c:pt>
                <c:pt idx="23">
                  <c:v>AvaÃ­</c:v>
                </c:pt>
                <c:pt idx="24">
                  <c:v>ParanÃ¡</c:v>
                </c:pt>
                <c:pt idx="25">
                  <c:v>Chapecoense</c:v>
                </c:pt>
                <c:pt idx="26">
                  <c:v>AmÃ©rica Mineiro</c:v>
                </c:pt>
                <c:pt idx="27">
                  <c:v>CriciÃºma</c:v>
                </c:pt>
                <c:pt idx="28">
                  <c:v>NÃ¡utico</c:v>
                </c:pt>
                <c:pt idx="29">
                  <c:v>CearÃ¡</c:v>
                </c:pt>
                <c:pt idx="30">
                  <c:v>Paysandu</c:v>
                </c:pt>
                <c:pt idx="31">
                  <c:v>Red Bull Bragantino</c:v>
                </c:pt>
                <c:pt idx="32">
                  <c:v>SÃ£o Caetano</c:v>
                </c:pt>
                <c:pt idx="33">
                  <c:v>Guarani</c:v>
                </c:pt>
                <c:pt idx="34">
                  <c:v>CuiabÃ¡</c:v>
                </c:pt>
                <c:pt idx="35">
                  <c:v>Portuguesa</c:v>
                </c:pt>
                <c:pt idx="36">
                  <c:v>Santa Cruz</c:v>
                </c:pt>
                <c:pt idx="37">
                  <c:v>GrÃªmio Barueri</c:v>
                </c:pt>
                <c:pt idx="38">
                  <c:v>AmÃ©rica-RN</c:v>
                </c:pt>
                <c:pt idx="39">
                  <c:v>Brasiliense</c:v>
                </c:pt>
                <c:pt idx="40">
                  <c:v>Ipatinga</c:v>
                </c:pt>
                <c:pt idx="41">
                  <c:v>Santo AndrÃ©</c:v>
                </c:pt>
                <c:pt idx="42">
                  <c:v>CSA</c:v>
                </c:pt>
                <c:pt idx="43">
                  <c:v>Joinville</c:v>
                </c:pt>
              </c:strCache>
            </c:strRef>
          </c:cat>
          <c:val>
            <c:numRef>
              <c:f>'Gols Tomados'!$B$4:$B$48</c:f>
              <c:numCache>
                <c:formatCode>General</c:formatCode>
                <c:ptCount val="44"/>
                <c:pt idx="0">
                  <c:v>1071</c:v>
                </c:pt>
                <c:pt idx="1">
                  <c:v>1035</c:v>
                </c:pt>
                <c:pt idx="2">
                  <c:v>1011</c:v>
                </c:pt>
                <c:pt idx="3">
                  <c:v>1004</c:v>
                </c:pt>
                <c:pt idx="4">
                  <c:v>982</c:v>
                </c:pt>
                <c:pt idx="5">
                  <c:v>937</c:v>
                </c:pt>
                <c:pt idx="6">
                  <c:v>922</c:v>
                </c:pt>
                <c:pt idx="7">
                  <c:v>910</c:v>
                </c:pt>
                <c:pt idx="8">
                  <c:v>891</c:v>
                </c:pt>
                <c:pt idx="9">
                  <c:v>889</c:v>
                </c:pt>
                <c:pt idx="10">
                  <c:v>884</c:v>
                </c:pt>
                <c:pt idx="11">
                  <c:v>877</c:v>
                </c:pt>
                <c:pt idx="12">
                  <c:v>873</c:v>
                </c:pt>
                <c:pt idx="13">
                  <c:v>839</c:v>
                </c:pt>
                <c:pt idx="14">
                  <c:v>787</c:v>
                </c:pt>
                <c:pt idx="15">
                  <c:v>633</c:v>
                </c:pt>
                <c:pt idx="16">
                  <c:v>622</c:v>
                </c:pt>
                <c:pt idx="17">
                  <c:v>614</c:v>
                </c:pt>
                <c:pt idx="18">
                  <c:v>568</c:v>
                </c:pt>
                <c:pt idx="19">
                  <c:v>534</c:v>
                </c:pt>
                <c:pt idx="20">
                  <c:v>498</c:v>
                </c:pt>
                <c:pt idx="21">
                  <c:v>460</c:v>
                </c:pt>
                <c:pt idx="22">
                  <c:v>421</c:v>
                </c:pt>
                <c:pt idx="23">
                  <c:v>415</c:v>
                </c:pt>
                <c:pt idx="24">
                  <c:v>369</c:v>
                </c:pt>
                <c:pt idx="25">
                  <c:v>362</c:v>
                </c:pt>
                <c:pt idx="26">
                  <c:v>332</c:v>
                </c:pt>
                <c:pt idx="27">
                  <c:v>327</c:v>
                </c:pt>
                <c:pt idx="28">
                  <c:v>318</c:v>
                </c:pt>
                <c:pt idx="29">
                  <c:v>317</c:v>
                </c:pt>
                <c:pt idx="30">
                  <c:v>245</c:v>
                </c:pt>
                <c:pt idx="31">
                  <c:v>228</c:v>
                </c:pt>
                <c:pt idx="32">
                  <c:v>199</c:v>
                </c:pt>
                <c:pt idx="33">
                  <c:v>180</c:v>
                </c:pt>
                <c:pt idx="34">
                  <c:v>167</c:v>
                </c:pt>
                <c:pt idx="35">
                  <c:v>157</c:v>
                </c:pt>
                <c:pt idx="36">
                  <c:v>145</c:v>
                </c:pt>
                <c:pt idx="37">
                  <c:v>116</c:v>
                </c:pt>
                <c:pt idx="38">
                  <c:v>80</c:v>
                </c:pt>
                <c:pt idx="39">
                  <c:v>67</c:v>
                </c:pt>
                <c:pt idx="40">
                  <c:v>67</c:v>
                </c:pt>
                <c:pt idx="41">
                  <c:v>61</c:v>
                </c:pt>
                <c:pt idx="42">
                  <c:v>58</c:v>
                </c:pt>
                <c:pt idx="4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2-4136-8B75-D234E41CC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5536"/>
        <c:axId val="157346496"/>
      </c:barChart>
      <c:catAx>
        <c:axId val="1573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46496"/>
        <c:crosses val="autoZero"/>
        <c:auto val="1"/>
        <c:lblAlgn val="ctr"/>
        <c:lblOffset val="100"/>
        <c:noMultiLvlLbl val="0"/>
      </c:catAx>
      <c:valAx>
        <c:axId val="1573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4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[Brasil.xlsx]Saldo de Gols!Tabela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'Saldo de Gols'!$B$3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'Saldo de Gols'!$A$4:$A$48</c:f>
              <c:strCache>
                <c:ptCount val="44"/>
                <c:pt idx="0">
                  <c:v>SÃ£o Paulo</c:v>
                </c:pt>
                <c:pt idx="1">
                  <c:v>Palmeiras</c:v>
                </c:pt>
                <c:pt idx="2">
                  <c:v>Flamengo</c:v>
                </c:pt>
                <c:pt idx="3">
                  <c:v>Internacional</c:v>
                </c:pt>
                <c:pt idx="4">
                  <c:v>Santos</c:v>
                </c:pt>
                <c:pt idx="5">
                  <c:v>GrÃªmio</c:v>
                </c:pt>
                <c:pt idx="6">
                  <c:v>Corinthians</c:v>
                </c:pt>
                <c:pt idx="7">
                  <c:v>Cruzeiro</c:v>
                </c:pt>
                <c:pt idx="8">
                  <c:v>AtlÃ©tico Mineiro</c:v>
                </c:pt>
                <c:pt idx="9">
                  <c:v>Athletico Paranaense</c:v>
                </c:pt>
                <c:pt idx="10">
                  <c:v>Fluminense</c:v>
                </c:pt>
                <c:pt idx="11">
                  <c:v>Botafogo</c:v>
                </c:pt>
                <c:pt idx="12">
                  <c:v>Red Bull Bragantino</c:v>
                </c:pt>
                <c:pt idx="13">
                  <c:v>SÃ£o Caetano</c:v>
                </c:pt>
                <c:pt idx="14">
                  <c:v>Santo AndrÃ©</c:v>
                </c:pt>
                <c:pt idx="15">
                  <c:v>GrÃªmio Barueri</c:v>
                </c:pt>
                <c:pt idx="16">
                  <c:v>Brasiliense</c:v>
                </c:pt>
                <c:pt idx="17">
                  <c:v>Portuguesa</c:v>
                </c:pt>
                <c:pt idx="18">
                  <c:v>Joinville</c:v>
                </c:pt>
                <c:pt idx="19">
                  <c:v>Ipatinga</c:v>
                </c:pt>
                <c:pt idx="20">
                  <c:v>CuiabÃ¡</c:v>
                </c:pt>
                <c:pt idx="21">
                  <c:v>Fortaleza</c:v>
                </c:pt>
                <c:pt idx="22">
                  <c:v>CSA</c:v>
                </c:pt>
                <c:pt idx="23">
                  <c:v>Guarani</c:v>
                </c:pt>
                <c:pt idx="24">
                  <c:v>CearÃ¡</c:v>
                </c:pt>
                <c:pt idx="25">
                  <c:v>GoiÃ¡s</c:v>
                </c:pt>
                <c:pt idx="26">
                  <c:v>Paysandu</c:v>
                </c:pt>
                <c:pt idx="27">
                  <c:v>AmÃ©rica-RN</c:v>
                </c:pt>
                <c:pt idx="28">
                  <c:v>ParanÃ¡</c:v>
                </c:pt>
                <c:pt idx="29">
                  <c:v>Santa Cruz</c:v>
                </c:pt>
                <c:pt idx="30">
                  <c:v>Bahia</c:v>
                </c:pt>
                <c:pt idx="31">
                  <c:v>CriciÃºma</c:v>
                </c:pt>
                <c:pt idx="32">
                  <c:v>Figueirense</c:v>
                </c:pt>
                <c:pt idx="33">
                  <c:v>NÃ¡utico</c:v>
                </c:pt>
                <c:pt idx="34">
                  <c:v>Coritiba</c:v>
                </c:pt>
                <c:pt idx="35">
                  <c:v>VitÃ³ria</c:v>
                </c:pt>
                <c:pt idx="36">
                  <c:v>Chapecoense</c:v>
                </c:pt>
                <c:pt idx="37">
                  <c:v>AtlÃ©tico Goianiense</c:v>
                </c:pt>
                <c:pt idx="38">
                  <c:v>Sport</c:v>
                </c:pt>
                <c:pt idx="39">
                  <c:v>AmÃ©rica Mineiro</c:v>
                </c:pt>
                <c:pt idx="40">
                  <c:v>Vasco</c:v>
                </c:pt>
                <c:pt idx="41">
                  <c:v>Juventude</c:v>
                </c:pt>
                <c:pt idx="42">
                  <c:v>Ponte Preta</c:v>
                </c:pt>
                <c:pt idx="43">
                  <c:v>AvaÃ­</c:v>
                </c:pt>
              </c:strCache>
            </c:strRef>
          </c:cat>
          <c:val>
            <c:numRef>
              <c:f>'Saldo de Gols'!$B$4:$B$48</c:f>
              <c:numCache>
                <c:formatCode>General</c:formatCode>
                <c:ptCount val="44"/>
                <c:pt idx="0">
                  <c:v>294</c:v>
                </c:pt>
                <c:pt idx="1">
                  <c:v>264</c:v>
                </c:pt>
                <c:pt idx="2">
                  <c:v>226</c:v>
                </c:pt>
                <c:pt idx="3">
                  <c:v>206</c:v>
                </c:pt>
                <c:pt idx="4">
                  <c:v>196</c:v>
                </c:pt>
                <c:pt idx="5">
                  <c:v>179</c:v>
                </c:pt>
                <c:pt idx="6">
                  <c:v>176</c:v>
                </c:pt>
                <c:pt idx="7">
                  <c:v>164</c:v>
                </c:pt>
                <c:pt idx="8">
                  <c:v>143</c:v>
                </c:pt>
                <c:pt idx="9">
                  <c:v>62</c:v>
                </c:pt>
                <c:pt idx="10">
                  <c:v>60</c:v>
                </c:pt>
                <c:pt idx="11">
                  <c:v>25</c:v>
                </c:pt>
                <c:pt idx="12">
                  <c:v>19</c:v>
                </c:pt>
                <c:pt idx="13">
                  <c:v>10</c:v>
                </c:pt>
                <c:pt idx="14">
                  <c:v>-15</c:v>
                </c:pt>
                <c:pt idx="15">
                  <c:v>-18</c:v>
                </c:pt>
                <c:pt idx="16">
                  <c:v>-20</c:v>
                </c:pt>
                <c:pt idx="17">
                  <c:v>-20</c:v>
                </c:pt>
                <c:pt idx="18">
                  <c:v>-22</c:v>
                </c:pt>
                <c:pt idx="19">
                  <c:v>-30</c:v>
                </c:pt>
                <c:pt idx="20">
                  <c:v>-33</c:v>
                </c:pt>
                <c:pt idx="21">
                  <c:v>-33</c:v>
                </c:pt>
                <c:pt idx="22">
                  <c:v>-34</c:v>
                </c:pt>
                <c:pt idx="23">
                  <c:v>-40</c:v>
                </c:pt>
                <c:pt idx="24">
                  <c:v>-40</c:v>
                </c:pt>
                <c:pt idx="25">
                  <c:v>-50</c:v>
                </c:pt>
                <c:pt idx="26">
                  <c:v>-52</c:v>
                </c:pt>
                <c:pt idx="27">
                  <c:v>-56</c:v>
                </c:pt>
                <c:pt idx="28">
                  <c:v>-57</c:v>
                </c:pt>
                <c:pt idx="29">
                  <c:v>-59</c:v>
                </c:pt>
                <c:pt idx="30">
                  <c:v>-85</c:v>
                </c:pt>
                <c:pt idx="31">
                  <c:v>-90</c:v>
                </c:pt>
                <c:pt idx="32">
                  <c:v>-92</c:v>
                </c:pt>
                <c:pt idx="33">
                  <c:v>-94</c:v>
                </c:pt>
                <c:pt idx="34">
                  <c:v>-94</c:v>
                </c:pt>
                <c:pt idx="35">
                  <c:v>-96</c:v>
                </c:pt>
                <c:pt idx="36">
                  <c:v>-101</c:v>
                </c:pt>
                <c:pt idx="37">
                  <c:v>-104</c:v>
                </c:pt>
                <c:pt idx="38">
                  <c:v>-105</c:v>
                </c:pt>
                <c:pt idx="39">
                  <c:v>-105</c:v>
                </c:pt>
                <c:pt idx="40">
                  <c:v>-107</c:v>
                </c:pt>
                <c:pt idx="41">
                  <c:v>-117</c:v>
                </c:pt>
                <c:pt idx="42">
                  <c:v>-120</c:v>
                </c:pt>
                <c:pt idx="43">
                  <c:v>-141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3-43DA-A9E9-B678B9EA9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736928"/>
        <c:axId val="579738848"/>
      </c:barChart>
      <c:catAx>
        <c:axId val="5797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738848"/>
        <c:crosses val="autoZero"/>
        <c:auto val="1"/>
        <c:lblAlgn val="ctr"/>
        <c:lblOffset val="100"/>
        <c:noMultiLvlLbl val="0"/>
      </c:catAx>
      <c:valAx>
        <c:axId val="5797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73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F63891F-17B9-4FE2-820A-2C75ACC1FE0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A23-4A2F-83A3-0FD2D80EE8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3312C1-5D21-4900-A59C-9DD85EA3D0C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A23-4A2F-83A3-0FD2D80EE8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6427E8-2B22-4DB2-84DA-24F4B5677A3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A23-4A2F-83A3-0FD2D80EE8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F04AD0-3069-45A0-96F5-6CBFC53578E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A23-4A2F-83A3-0FD2D80EE8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FD45C3-2E37-44EF-8FB2-2E4513F8D8C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A23-4A2F-83A3-0FD2D80EE8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DB00D7-9359-420F-B6F6-475AA2E4997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A23-4A2F-83A3-0FD2D80EE8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4F2FD4-45E1-4079-9DB0-0CF20229BFC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A23-4A2F-83A3-0FD2D80EE8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3CCAA2-1E7B-4153-BEC8-B212987D7F7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A23-4A2F-83A3-0FD2D80EE8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86754B0-C3A5-45EA-B6EB-596D85AA1FD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A23-4A2F-83A3-0FD2D80EE8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2A471F7-01B0-439D-99C1-CB6567EE5A2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A23-4A2F-83A3-0FD2D80EE8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45B56DC-E4AB-4FF7-9CDF-DD77ABF0436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A23-4A2F-83A3-0FD2D80EE8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6C809DB-67A0-485F-8C8A-1B00D5B3019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A23-4A2F-83A3-0FD2D80EE8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816AA7-B92C-4853-BA1A-BB5A2FA4B80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A23-4A2F-83A3-0FD2D80EE80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03315F-3F8C-49C1-B0AB-CE4DCEE0D6C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A23-4A2F-83A3-0FD2D80EE80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3CA865-1F27-49C2-817D-430ECEAD685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A23-4A2F-83A3-0FD2D80EE80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794113A-0B35-4DE0-8735-7A5609F61D4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A23-4A2F-83A3-0FD2D80EE80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1B8A533-4A79-4932-9BCF-C4E57548C37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A23-4A2F-83A3-0FD2D80EE80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0CB5D14-E6D3-4D91-8750-599A3719D3E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A23-4A2F-83A3-0FD2D80EE80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5426A1-F414-4DFE-9DE1-86963F64010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A23-4A2F-83A3-0FD2D80EE80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646F5E9-5661-4608-B179-6742C5FAF49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A23-4A2F-83A3-0FD2D80EE80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111BECA-42E2-4037-A320-EC7DF8CFE08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A23-4A2F-83A3-0FD2D80EE80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AE8E962-1680-4F99-9D61-6A9CF932769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A23-4A2F-83A3-0FD2D80EE80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BCEB299-7FFA-4BC5-99DB-73928201D89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A23-4A2F-83A3-0FD2D80EE80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33CC18E-D0E1-4A52-B3C1-75C0B1E2B74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A23-4A2F-83A3-0FD2D80EE80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3B0D31A-235B-4E19-8D98-31B9A3D81C8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AA23-4A2F-83A3-0FD2D80EE80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A02A460-5E6B-413C-87F4-582DAA5F810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AA23-4A2F-83A3-0FD2D80EE80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2326A35-4893-4F32-8C94-70CC64C7A63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AA23-4A2F-83A3-0FD2D80EE80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69F8DAB-01EB-4DFC-A3DD-03B90A7100C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AA23-4A2F-83A3-0FD2D80EE80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0DF4163-E74B-46E3-B718-B0E1DD85DA6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AA23-4A2F-83A3-0FD2D80EE80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5DAB628-A2B5-4F09-B087-B76BC3CE1EE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A23-4A2F-83A3-0FD2D80EE80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3A916FC-D0B8-46E9-A42A-DCEAF4E2580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AA23-4A2F-83A3-0FD2D80EE80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D30127B-0C0E-46E3-A3A3-A21BD110EA2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A23-4A2F-83A3-0FD2D80EE80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89A806D-9232-466A-A5B9-944876E2044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AA23-4A2F-83A3-0FD2D80EE80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19AE2CF-2174-4FFB-B0C3-ED27E84F66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AA23-4A2F-83A3-0FD2D80EE80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A4FF7C4-388E-4DFB-9A96-D6E0512B3AE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AA23-4A2F-83A3-0FD2D80EE80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747D730-64A4-4207-A9AC-91B9A8665C4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AA23-4A2F-83A3-0FD2D80EE80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C1E64DF-CC53-4FCF-A241-85E01B84B34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A23-4A2F-83A3-0FD2D80EE80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5536A8E-2A65-42B1-A64D-8FAB9719301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AA23-4A2F-83A3-0FD2D80EE80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88DADBFF-A7D7-4E1D-9552-DBD57B65F45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AA23-4A2F-83A3-0FD2D80EE80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A738280-52E2-47EA-B641-9CE728BEC43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AA23-4A2F-83A3-0FD2D80EE80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FEB5D80-7C46-48AF-BC46-DFF91087F43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AA23-4A2F-83A3-0FD2D80EE80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76A9DDB-5B99-4874-B22E-3081641EEA2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AA23-4A2F-83A3-0FD2D80EE80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0D7E4B1-BCEF-43E2-8273-1A8919DF29E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AA23-4A2F-83A3-0FD2D80EE80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0F836BC-46F1-467D-9BFA-9F8C645E25C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AA23-4A2F-83A3-0FD2D80EE8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'Grafico Comparaçao'!$A$2:$A$45</c:f>
              <c:strCache>
                <c:ptCount val="44"/>
                <c:pt idx="0">
                  <c:v>AmÃ©rica Mineiro</c:v>
                </c:pt>
                <c:pt idx="1">
                  <c:v>AmÃ©rica-RN</c:v>
                </c:pt>
                <c:pt idx="2">
                  <c:v>Athletico Paranaense</c:v>
                </c:pt>
                <c:pt idx="3">
                  <c:v>AtlÃ©tico Goianiense</c:v>
                </c:pt>
                <c:pt idx="4">
                  <c:v>AtlÃ©tico Mineiro</c:v>
                </c:pt>
                <c:pt idx="5">
                  <c:v>AvaÃ­</c:v>
                </c:pt>
                <c:pt idx="6">
                  <c:v>Bahia</c:v>
                </c:pt>
                <c:pt idx="7">
                  <c:v>Botafogo</c:v>
                </c:pt>
                <c:pt idx="8">
                  <c:v>Brasiliense</c:v>
                </c:pt>
                <c:pt idx="9">
                  <c:v>CearÃ¡</c:v>
                </c:pt>
                <c:pt idx="10">
                  <c:v>Chapecoense</c:v>
                </c:pt>
                <c:pt idx="11">
                  <c:v>Corinthians</c:v>
                </c:pt>
                <c:pt idx="12">
                  <c:v>Coritiba</c:v>
                </c:pt>
                <c:pt idx="13">
                  <c:v>CriciÃºma</c:v>
                </c:pt>
                <c:pt idx="14">
                  <c:v>Cruzeiro</c:v>
                </c:pt>
                <c:pt idx="15">
                  <c:v>CSA</c:v>
                </c:pt>
                <c:pt idx="16">
                  <c:v>CuiabÃ¡</c:v>
                </c:pt>
                <c:pt idx="17">
                  <c:v>Figueirense</c:v>
                </c:pt>
                <c:pt idx="18">
                  <c:v>Flamengo</c:v>
                </c:pt>
                <c:pt idx="19">
                  <c:v>Fluminense</c:v>
                </c:pt>
                <c:pt idx="20">
                  <c:v>Fortaleza</c:v>
                </c:pt>
                <c:pt idx="21">
                  <c:v>GoiÃ¡s</c:v>
                </c:pt>
                <c:pt idx="22">
                  <c:v>GrÃªmio</c:v>
                </c:pt>
                <c:pt idx="23">
                  <c:v>GrÃªmio Barueri</c:v>
                </c:pt>
                <c:pt idx="24">
                  <c:v>Guarani</c:v>
                </c:pt>
                <c:pt idx="25">
                  <c:v>Internacional</c:v>
                </c:pt>
                <c:pt idx="26">
                  <c:v>Ipatinga</c:v>
                </c:pt>
                <c:pt idx="27">
                  <c:v>Joinville</c:v>
                </c:pt>
                <c:pt idx="28">
                  <c:v>Juventude</c:v>
                </c:pt>
                <c:pt idx="29">
                  <c:v>NÃ¡utico</c:v>
                </c:pt>
                <c:pt idx="30">
                  <c:v>Palmeiras</c:v>
                </c:pt>
                <c:pt idx="31">
                  <c:v>ParanÃ¡</c:v>
                </c:pt>
                <c:pt idx="32">
                  <c:v>Paysandu</c:v>
                </c:pt>
                <c:pt idx="33">
                  <c:v>Ponte Preta</c:v>
                </c:pt>
                <c:pt idx="34">
                  <c:v>Portuguesa</c:v>
                </c:pt>
                <c:pt idx="35">
                  <c:v>Red Bull Bragantino</c:v>
                </c:pt>
                <c:pt idx="36">
                  <c:v>SÃ£o Caetano</c:v>
                </c:pt>
                <c:pt idx="37">
                  <c:v>SÃ£o Paulo</c:v>
                </c:pt>
                <c:pt idx="38">
                  <c:v>Santa Cruz</c:v>
                </c:pt>
                <c:pt idx="39">
                  <c:v>Santo AndrÃ©</c:v>
                </c:pt>
                <c:pt idx="40">
                  <c:v>Santos</c:v>
                </c:pt>
                <c:pt idx="41">
                  <c:v>Sport</c:v>
                </c:pt>
                <c:pt idx="42">
                  <c:v>Vasco</c:v>
                </c:pt>
                <c:pt idx="43">
                  <c:v>VitÃ³ria</c:v>
                </c:pt>
              </c:strCache>
            </c:strRef>
          </c:xVal>
          <c:yVal>
            <c:numRef>
              <c:f>'Grafico Comparaçao'!$B$2:$B$45</c:f>
              <c:numCache>
                <c:formatCode>General</c:formatCode>
                <c:ptCount val="44"/>
                <c:pt idx="0">
                  <c:v>235</c:v>
                </c:pt>
                <c:pt idx="1">
                  <c:v>17</c:v>
                </c:pt>
                <c:pt idx="2">
                  <c:v>1158</c:v>
                </c:pt>
                <c:pt idx="3">
                  <c:v>325</c:v>
                </c:pt>
                <c:pt idx="4">
                  <c:v>1227</c:v>
                </c:pt>
                <c:pt idx="5">
                  <c:v>271</c:v>
                </c:pt>
                <c:pt idx="6">
                  <c:v>555</c:v>
                </c:pt>
                <c:pt idx="7">
                  <c:v>1010</c:v>
                </c:pt>
                <c:pt idx="8">
                  <c:v>41</c:v>
                </c:pt>
                <c:pt idx="9">
                  <c:v>308</c:v>
                </c:pt>
                <c:pt idx="10">
                  <c:v>287</c:v>
                </c:pt>
                <c:pt idx="11">
                  <c:v>1265</c:v>
                </c:pt>
                <c:pt idx="12">
                  <c:v>718</c:v>
                </c:pt>
                <c:pt idx="13">
                  <c:v>226</c:v>
                </c:pt>
                <c:pt idx="14">
                  <c:v>1126</c:v>
                </c:pt>
                <c:pt idx="15">
                  <c:v>32</c:v>
                </c:pt>
                <c:pt idx="16">
                  <c:v>169</c:v>
                </c:pt>
                <c:pt idx="17">
                  <c:v>550</c:v>
                </c:pt>
                <c:pt idx="18">
                  <c:v>1349</c:v>
                </c:pt>
                <c:pt idx="19">
                  <c:v>1227</c:v>
                </c:pt>
                <c:pt idx="20">
                  <c:v>471</c:v>
                </c:pt>
                <c:pt idx="21">
                  <c:v>769</c:v>
                </c:pt>
                <c:pt idx="22">
                  <c:v>1178</c:v>
                </c:pt>
                <c:pt idx="23">
                  <c:v>77</c:v>
                </c:pt>
                <c:pt idx="24">
                  <c:v>147</c:v>
                </c:pt>
                <c:pt idx="25">
                  <c:v>1286</c:v>
                </c:pt>
                <c:pt idx="26">
                  <c:v>35</c:v>
                </c:pt>
                <c:pt idx="27">
                  <c:v>31</c:v>
                </c:pt>
                <c:pt idx="28">
                  <c:v>379</c:v>
                </c:pt>
                <c:pt idx="29">
                  <c:v>200</c:v>
                </c:pt>
                <c:pt idx="30">
                  <c:v>1250</c:v>
                </c:pt>
                <c:pt idx="31">
                  <c:v>304</c:v>
                </c:pt>
                <c:pt idx="32">
                  <c:v>146</c:v>
                </c:pt>
                <c:pt idx="33">
                  <c:v>432</c:v>
                </c:pt>
                <c:pt idx="34">
                  <c:v>127</c:v>
                </c:pt>
                <c:pt idx="35">
                  <c:v>259</c:v>
                </c:pt>
                <c:pt idx="36">
                  <c:v>215</c:v>
                </c:pt>
                <c:pt idx="37">
                  <c:v>1383</c:v>
                </c:pt>
                <c:pt idx="38">
                  <c:v>59</c:v>
                </c:pt>
                <c:pt idx="39">
                  <c:v>41</c:v>
                </c:pt>
                <c:pt idx="40">
                  <c:v>1237</c:v>
                </c:pt>
                <c:pt idx="41">
                  <c:v>500</c:v>
                </c:pt>
                <c:pt idx="42">
                  <c:v>862</c:v>
                </c:pt>
                <c:pt idx="43">
                  <c:v>515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'Grafico Comparaçao'!$A$2:$A$45</c15:f>
                <c15:dlblRangeCache>
                  <c:ptCount val="44"/>
                  <c:pt idx="0">
                    <c:v>AmÃ©rica Mineiro</c:v>
                  </c:pt>
                  <c:pt idx="1">
                    <c:v>AmÃ©rica-RN</c:v>
                  </c:pt>
                  <c:pt idx="2">
                    <c:v>Athletico Paranaense</c:v>
                  </c:pt>
                  <c:pt idx="3">
                    <c:v>AtlÃ©tico Goianiense</c:v>
                  </c:pt>
                  <c:pt idx="4">
                    <c:v>AtlÃ©tico Mineiro</c:v>
                  </c:pt>
                  <c:pt idx="5">
                    <c:v>AvaÃ­</c:v>
                  </c:pt>
                  <c:pt idx="6">
                    <c:v>Bahia</c:v>
                  </c:pt>
                  <c:pt idx="7">
                    <c:v>Botafogo</c:v>
                  </c:pt>
                  <c:pt idx="8">
                    <c:v>Brasiliense</c:v>
                  </c:pt>
                  <c:pt idx="9">
                    <c:v>CearÃ¡</c:v>
                  </c:pt>
                  <c:pt idx="10">
                    <c:v>Chapecoense</c:v>
                  </c:pt>
                  <c:pt idx="11">
                    <c:v>Corinthians</c:v>
                  </c:pt>
                  <c:pt idx="12">
                    <c:v>Coritiba</c:v>
                  </c:pt>
                  <c:pt idx="13">
                    <c:v>CriciÃºma</c:v>
                  </c:pt>
                  <c:pt idx="14">
                    <c:v>Cruzeiro</c:v>
                  </c:pt>
                  <c:pt idx="15">
                    <c:v>CSA</c:v>
                  </c:pt>
                  <c:pt idx="16">
                    <c:v>CuiabÃ¡</c:v>
                  </c:pt>
                  <c:pt idx="17">
                    <c:v>Figueirense</c:v>
                  </c:pt>
                  <c:pt idx="18">
                    <c:v>Flamengo</c:v>
                  </c:pt>
                  <c:pt idx="19">
                    <c:v>Fluminense</c:v>
                  </c:pt>
                  <c:pt idx="20">
                    <c:v>Fortaleza</c:v>
                  </c:pt>
                  <c:pt idx="21">
                    <c:v>GoiÃ¡s</c:v>
                  </c:pt>
                  <c:pt idx="22">
                    <c:v>GrÃªmio</c:v>
                  </c:pt>
                  <c:pt idx="23">
                    <c:v>GrÃªmio Barueri</c:v>
                  </c:pt>
                  <c:pt idx="24">
                    <c:v>Guarani</c:v>
                  </c:pt>
                  <c:pt idx="25">
                    <c:v>Internacional</c:v>
                  </c:pt>
                  <c:pt idx="26">
                    <c:v>Ipatinga</c:v>
                  </c:pt>
                  <c:pt idx="27">
                    <c:v>Joinville</c:v>
                  </c:pt>
                  <c:pt idx="28">
                    <c:v>Juventude</c:v>
                  </c:pt>
                  <c:pt idx="29">
                    <c:v>NÃ¡utico</c:v>
                  </c:pt>
                  <c:pt idx="30">
                    <c:v>Palmeiras</c:v>
                  </c:pt>
                  <c:pt idx="31">
                    <c:v>ParanÃ¡</c:v>
                  </c:pt>
                  <c:pt idx="32">
                    <c:v>Paysandu</c:v>
                  </c:pt>
                  <c:pt idx="33">
                    <c:v>Ponte Preta</c:v>
                  </c:pt>
                  <c:pt idx="34">
                    <c:v>Portuguesa</c:v>
                  </c:pt>
                  <c:pt idx="35">
                    <c:v>Red Bull Bragantino</c:v>
                  </c:pt>
                  <c:pt idx="36">
                    <c:v>SÃ£o Caetano</c:v>
                  </c:pt>
                  <c:pt idx="37">
                    <c:v>SÃ£o Paulo</c:v>
                  </c:pt>
                  <c:pt idx="38">
                    <c:v>Santa Cruz</c:v>
                  </c:pt>
                  <c:pt idx="39">
                    <c:v>Santo AndrÃ©</c:v>
                  </c:pt>
                  <c:pt idx="40">
                    <c:v>Santos</c:v>
                  </c:pt>
                  <c:pt idx="41">
                    <c:v>Sport</c:v>
                  </c:pt>
                  <c:pt idx="42">
                    <c:v>Vasco</c:v>
                  </c:pt>
                  <c:pt idx="43">
                    <c:v>VitÃ³ria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A23-4A2F-83A3-0FD2D80EE80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01997D-5B0F-4A3F-85D2-D47FC42F3BA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AA23-4A2F-83A3-0FD2D80EE8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21B1F3-40E4-43DE-9AAD-A1DAF98B422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AA23-4A2F-83A3-0FD2D80EE8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D2B9C1-283C-4845-973F-7A62CA868BB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AA23-4A2F-83A3-0FD2D80EE8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E5EA26-CD41-4D80-A336-3B72DD02211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AA23-4A2F-83A3-0FD2D80EE8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BC89EC-087E-4D42-B158-456AB6FA464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AA23-4A2F-83A3-0FD2D80EE8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12BF0C-F1BC-468B-A624-05ABF2AD9E8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AA23-4A2F-83A3-0FD2D80EE8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C884FF-7EB1-47FA-80D4-CD39871B954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AA23-4A2F-83A3-0FD2D80EE8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A9447D-EC7E-4298-8B81-8F7B8DB2A0B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AA23-4A2F-83A3-0FD2D80EE8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AF98CF7-E4A0-4AD5-B381-53BB2ECCBA5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AA23-4A2F-83A3-0FD2D80EE8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EB47A89-0596-4C4C-9E6C-2AA33AD9081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AA23-4A2F-83A3-0FD2D80EE8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37F1FAB-E59C-4F00-9C0F-3960A9EFD98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AA23-4A2F-83A3-0FD2D80EE8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4D219E-F1A4-49C4-ACBE-4974E150F59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AA23-4A2F-83A3-0FD2D80EE8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F54DC75-4009-414A-9348-20DC7A6773A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AA23-4A2F-83A3-0FD2D80EE80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21FDC8F-7F26-4C3E-84A0-C6B80502392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AA23-4A2F-83A3-0FD2D80EE80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6E70559-7EA8-4CE1-BA2F-96C35AB6253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AA23-4A2F-83A3-0FD2D80EE80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B9F27E7-F4EF-48B6-888B-E4400F66BED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AA23-4A2F-83A3-0FD2D80EE80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EC257BC-C879-4266-83C7-7B898670787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AA23-4A2F-83A3-0FD2D80EE80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D4EFB0-8D24-465C-B6AF-B0299C8B891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AA23-4A2F-83A3-0FD2D80EE80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099D9D0-B1AE-4DDD-87FD-0D6ABD9496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AA23-4A2F-83A3-0FD2D80EE80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04E53FB-8F9C-469D-A9D4-17C3D1F487E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AA23-4A2F-83A3-0FD2D80EE80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96DD792-4051-432E-AA11-43B31CB4E70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AA23-4A2F-83A3-0FD2D80EE80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D66555E-9B3A-407C-A0B2-112B269BD78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AA23-4A2F-83A3-0FD2D80EE80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82A7FAA-3C9F-4E38-8B25-5388303635A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AA23-4A2F-83A3-0FD2D80EE80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DF8C444-1E9A-496B-BBBD-49D5D2B6CF7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AA23-4A2F-83A3-0FD2D80EE80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C587E8B-CC0F-4079-9D0B-ADDFACE2250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AA23-4A2F-83A3-0FD2D80EE80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F33FDD5-1B61-4712-8560-D79E6EFB27D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AA23-4A2F-83A3-0FD2D80EE80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9ABBD16-B5B1-4759-8C13-6E83F3E40FF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AA23-4A2F-83A3-0FD2D80EE80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127CA64-37B6-473D-BA34-72ECD27AC74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AA23-4A2F-83A3-0FD2D80EE80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4CFCA68-BD52-4C79-ACAE-CD61FF2EDEC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AA23-4A2F-83A3-0FD2D80EE80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67231E3-88F3-4391-A4C9-5282FC113C1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AA23-4A2F-83A3-0FD2D80EE80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2BF39DE-CBE1-4F1D-A37C-436ABAB3039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AA23-4A2F-83A3-0FD2D80EE80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E9C79AC-4C35-472B-A464-B1459BBFFC0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AA23-4A2F-83A3-0FD2D80EE80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895444B-D1C9-49D5-8675-4B83DB31062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AA23-4A2F-83A3-0FD2D80EE80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11F937D-BFF3-4C3B-BAB9-05FC20DCFA1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AA23-4A2F-83A3-0FD2D80EE80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8922572-4283-4CE3-977C-A5C61047E33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AA23-4A2F-83A3-0FD2D80EE80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B633FAE-D611-40AF-816C-DEBFDD71866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AA23-4A2F-83A3-0FD2D80EE80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2174FA0-C805-407A-8E69-691DB9621AA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AA23-4A2F-83A3-0FD2D80EE80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0AD9A41-A5AC-44D3-ACA9-027B9AB5E0E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AA23-4A2F-83A3-0FD2D80EE80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CFD1C2F-773A-41EE-9BB6-8EF58C75313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AA23-4A2F-83A3-0FD2D80EE80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F358B21-394E-4F47-A7EB-A7475C710CF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AA23-4A2F-83A3-0FD2D80EE80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0A13018-C9B1-4859-B76B-6C8CB78F950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AA23-4A2F-83A3-0FD2D80EE80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8E9D3C9-BA24-4A6F-B5DA-DB98DEE9F9A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AA23-4A2F-83A3-0FD2D80EE80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CE0DDBEB-2584-4B64-BAC3-79FE6505D19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AA23-4A2F-83A3-0FD2D80EE80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C40F4F9-F858-49CD-8D42-710727762FB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AA23-4A2F-83A3-0FD2D80EE8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'Grafico Comparaçao'!$A$2:$A$45</c:f>
              <c:strCache>
                <c:ptCount val="44"/>
                <c:pt idx="0">
                  <c:v>AmÃ©rica Mineiro</c:v>
                </c:pt>
                <c:pt idx="1">
                  <c:v>AmÃ©rica-RN</c:v>
                </c:pt>
                <c:pt idx="2">
                  <c:v>Athletico Paranaense</c:v>
                </c:pt>
                <c:pt idx="3">
                  <c:v>AtlÃ©tico Goianiense</c:v>
                </c:pt>
                <c:pt idx="4">
                  <c:v>AtlÃ©tico Mineiro</c:v>
                </c:pt>
                <c:pt idx="5">
                  <c:v>AvaÃ­</c:v>
                </c:pt>
                <c:pt idx="6">
                  <c:v>Bahia</c:v>
                </c:pt>
                <c:pt idx="7">
                  <c:v>Botafogo</c:v>
                </c:pt>
                <c:pt idx="8">
                  <c:v>Brasiliense</c:v>
                </c:pt>
                <c:pt idx="9">
                  <c:v>CearÃ¡</c:v>
                </c:pt>
                <c:pt idx="10">
                  <c:v>Chapecoense</c:v>
                </c:pt>
                <c:pt idx="11">
                  <c:v>Corinthians</c:v>
                </c:pt>
                <c:pt idx="12">
                  <c:v>Coritiba</c:v>
                </c:pt>
                <c:pt idx="13">
                  <c:v>CriciÃºma</c:v>
                </c:pt>
                <c:pt idx="14">
                  <c:v>Cruzeiro</c:v>
                </c:pt>
                <c:pt idx="15">
                  <c:v>CSA</c:v>
                </c:pt>
                <c:pt idx="16">
                  <c:v>CuiabÃ¡</c:v>
                </c:pt>
                <c:pt idx="17">
                  <c:v>Figueirense</c:v>
                </c:pt>
                <c:pt idx="18">
                  <c:v>Flamengo</c:v>
                </c:pt>
                <c:pt idx="19">
                  <c:v>Fluminense</c:v>
                </c:pt>
                <c:pt idx="20">
                  <c:v>Fortaleza</c:v>
                </c:pt>
                <c:pt idx="21">
                  <c:v>GoiÃ¡s</c:v>
                </c:pt>
                <c:pt idx="22">
                  <c:v>GrÃªmio</c:v>
                </c:pt>
                <c:pt idx="23">
                  <c:v>GrÃªmio Barueri</c:v>
                </c:pt>
                <c:pt idx="24">
                  <c:v>Guarani</c:v>
                </c:pt>
                <c:pt idx="25">
                  <c:v>Internacional</c:v>
                </c:pt>
                <c:pt idx="26">
                  <c:v>Ipatinga</c:v>
                </c:pt>
                <c:pt idx="27">
                  <c:v>Joinville</c:v>
                </c:pt>
                <c:pt idx="28">
                  <c:v>Juventude</c:v>
                </c:pt>
                <c:pt idx="29">
                  <c:v>NÃ¡utico</c:v>
                </c:pt>
                <c:pt idx="30">
                  <c:v>Palmeiras</c:v>
                </c:pt>
                <c:pt idx="31">
                  <c:v>ParanÃ¡</c:v>
                </c:pt>
                <c:pt idx="32">
                  <c:v>Paysandu</c:v>
                </c:pt>
                <c:pt idx="33">
                  <c:v>Ponte Preta</c:v>
                </c:pt>
                <c:pt idx="34">
                  <c:v>Portuguesa</c:v>
                </c:pt>
                <c:pt idx="35">
                  <c:v>Red Bull Bragantino</c:v>
                </c:pt>
                <c:pt idx="36">
                  <c:v>SÃ£o Caetano</c:v>
                </c:pt>
                <c:pt idx="37">
                  <c:v>SÃ£o Paulo</c:v>
                </c:pt>
                <c:pt idx="38">
                  <c:v>Santa Cruz</c:v>
                </c:pt>
                <c:pt idx="39">
                  <c:v>Santo AndrÃ©</c:v>
                </c:pt>
                <c:pt idx="40">
                  <c:v>Santos</c:v>
                </c:pt>
                <c:pt idx="41">
                  <c:v>Sport</c:v>
                </c:pt>
                <c:pt idx="42">
                  <c:v>Vasco</c:v>
                </c:pt>
                <c:pt idx="43">
                  <c:v>VitÃ³ria</c:v>
                </c:pt>
              </c:strCache>
            </c:strRef>
          </c:xVal>
          <c:yVal>
            <c:numRef>
              <c:f>'Grafico Comparaçao'!$C$2:$C$45</c:f>
              <c:numCache>
                <c:formatCode>General</c:formatCode>
                <c:ptCount val="44"/>
                <c:pt idx="0">
                  <c:v>227</c:v>
                </c:pt>
                <c:pt idx="1">
                  <c:v>24</c:v>
                </c:pt>
                <c:pt idx="2">
                  <c:v>1073</c:v>
                </c:pt>
                <c:pt idx="3">
                  <c:v>317</c:v>
                </c:pt>
                <c:pt idx="4">
                  <c:v>1178</c:v>
                </c:pt>
                <c:pt idx="5">
                  <c:v>274</c:v>
                </c:pt>
                <c:pt idx="6">
                  <c:v>529</c:v>
                </c:pt>
                <c:pt idx="7">
                  <c:v>935</c:v>
                </c:pt>
                <c:pt idx="8">
                  <c:v>47</c:v>
                </c:pt>
                <c:pt idx="9">
                  <c:v>277</c:v>
                </c:pt>
                <c:pt idx="10">
                  <c:v>261</c:v>
                </c:pt>
                <c:pt idx="11">
                  <c:v>1053</c:v>
                </c:pt>
                <c:pt idx="12">
                  <c:v>693</c:v>
                </c:pt>
                <c:pt idx="13">
                  <c:v>237</c:v>
                </c:pt>
                <c:pt idx="14">
                  <c:v>1055</c:v>
                </c:pt>
                <c:pt idx="15">
                  <c:v>24</c:v>
                </c:pt>
                <c:pt idx="16">
                  <c:v>134</c:v>
                </c:pt>
                <c:pt idx="17">
                  <c:v>530</c:v>
                </c:pt>
                <c:pt idx="18">
                  <c:v>1230</c:v>
                </c:pt>
                <c:pt idx="19">
                  <c:v>1131</c:v>
                </c:pt>
                <c:pt idx="20">
                  <c:v>427</c:v>
                </c:pt>
                <c:pt idx="21">
                  <c:v>789</c:v>
                </c:pt>
                <c:pt idx="22">
                  <c:v>1063</c:v>
                </c:pt>
                <c:pt idx="23">
                  <c:v>98</c:v>
                </c:pt>
                <c:pt idx="24">
                  <c:v>140</c:v>
                </c:pt>
                <c:pt idx="25">
                  <c:v>1095</c:v>
                </c:pt>
                <c:pt idx="26">
                  <c:v>37</c:v>
                </c:pt>
                <c:pt idx="27">
                  <c:v>26</c:v>
                </c:pt>
                <c:pt idx="28">
                  <c:v>381</c:v>
                </c:pt>
                <c:pt idx="29">
                  <c:v>224</c:v>
                </c:pt>
                <c:pt idx="30">
                  <c:v>1137</c:v>
                </c:pt>
                <c:pt idx="31">
                  <c:v>312</c:v>
                </c:pt>
                <c:pt idx="32">
                  <c:v>193</c:v>
                </c:pt>
                <c:pt idx="33">
                  <c:v>414</c:v>
                </c:pt>
                <c:pt idx="34">
                  <c:v>137</c:v>
                </c:pt>
                <c:pt idx="35">
                  <c:v>247</c:v>
                </c:pt>
                <c:pt idx="36">
                  <c:v>209</c:v>
                </c:pt>
                <c:pt idx="37">
                  <c:v>1216</c:v>
                </c:pt>
                <c:pt idx="38">
                  <c:v>86</c:v>
                </c:pt>
                <c:pt idx="39">
                  <c:v>46</c:v>
                </c:pt>
                <c:pt idx="40">
                  <c:v>1178</c:v>
                </c:pt>
                <c:pt idx="41">
                  <c:v>463</c:v>
                </c:pt>
                <c:pt idx="42">
                  <c:v>830</c:v>
                </c:pt>
                <c:pt idx="43">
                  <c:v>537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'Grafico Comparaçao'!$A$2:$A$45</c15:f>
                <c15:dlblRangeCache>
                  <c:ptCount val="44"/>
                  <c:pt idx="0">
                    <c:v>AmÃ©rica Mineiro</c:v>
                  </c:pt>
                  <c:pt idx="1">
                    <c:v>AmÃ©rica-RN</c:v>
                  </c:pt>
                  <c:pt idx="2">
                    <c:v>Athletico Paranaense</c:v>
                  </c:pt>
                  <c:pt idx="3">
                    <c:v>AtlÃ©tico Goianiense</c:v>
                  </c:pt>
                  <c:pt idx="4">
                    <c:v>AtlÃ©tico Mineiro</c:v>
                  </c:pt>
                  <c:pt idx="5">
                    <c:v>AvaÃ­</c:v>
                  </c:pt>
                  <c:pt idx="6">
                    <c:v>Bahia</c:v>
                  </c:pt>
                  <c:pt idx="7">
                    <c:v>Botafogo</c:v>
                  </c:pt>
                  <c:pt idx="8">
                    <c:v>Brasiliense</c:v>
                  </c:pt>
                  <c:pt idx="9">
                    <c:v>CearÃ¡</c:v>
                  </c:pt>
                  <c:pt idx="10">
                    <c:v>Chapecoense</c:v>
                  </c:pt>
                  <c:pt idx="11">
                    <c:v>Corinthians</c:v>
                  </c:pt>
                  <c:pt idx="12">
                    <c:v>Coritiba</c:v>
                  </c:pt>
                  <c:pt idx="13">
                    <c:v>CriciÃºma</c:v>
                  </c:pt>
                  <c:pt idx="14">
                    <c:v>Cruzeiro</c:v>
                  </c:pt>
                  <c:pt idx="15">
                    <c:v>CSA</c:v>
                  </c:pt>
                  <c:pt idx="16">
                    <c:v>CuiabÃ¡</c:v>
                  </c:pt>
                  <c:pt idx="17">
                    <c:v>Figueirense</c:v>
                  </c:pt>
                  <c:pt idx="18">
                    <c:v>Flamengo</c:v>
                  </c:pt>
                  <c:pt idx="19">
                    <c:v>Fluminense</c:v>
                  </c:pt>
                  <c:pt idx="20">
                    <c:v>Fortaleza</c:v>
                  </c:pt>
                  <c:pt idx="21">
                    <c:v>GoiÃ¡s</c:v>
                  </c:pt>
                  <c:pt idx="22">
                    <c:v>GrÃªmio</c:v>
                  </c:pt>
                  <c:pt idx="23">
                    <c:v>GrÃªmio Barueri</c:v>
                  </c:pt>
                  <c:pt idx="24">
                    <c:v>Guarani</c:v>
                  </c:pt>
                  <c:pt idx="25">
                    <c:v>Internacional</c:v>
                  </c:pt>
                  <c:pt idx="26">
                    <c:v>Ipatinga</c:v>
                  </c:pt>
                  <c:pt idx="27">
                    <c:v>Joinville</c:v>
                  </c:pt>
                  <c:pt idx="28">
                    <c:v>Juventude</c:v>
                  </c:pt>
                  <c:pt idx="29">
                    <c:v>NÃ¡utico</c:v>
                  </c:pt>
                  <c:pt idx="30">
                    <c:v>Palmeiras</c:v>
                  </c:pt>
                  <c:pt idx="31">
                    <c:v>ParanÃ¡</c:v>
                  </c:pt>
                  <c:pt idx="32">
                    <c:v>Paysandu</c:v>
                  </c:pt>
                  <c:pt idx="33">
                    <c:v>Ponte Preta</c:v>
                  </c:pt>
                  <c:pt idx="34">
                    <c:v>Portuguesa</c:v>
                  </c:pt>
                  <c:pt idx="35">
                    <c:v>Red Bull Bragantino</c:v>
                  </c:pt>
                  <c:pt idx="36">
                    <c:v>SÃ£o Caetano</c:v>
                  </c:pt>
                  <c:pt idx="37">
                    <c:v>SÃ£o Paulo</c:v>
                  </c:pt>
                  <c:pt idx="38">
                    <c:v>Santa Cruz</c:v>
                  </c:pt>
                  <c:pt idx="39">
                    <c:v>Santo AndrÃ©</c:v>
                  </c:pt>
                  <c:pt idx="40">
                    <c:v>Santos</c:v>
                  </c:pt>
                  <c:pt idx="41">
                    <c:v>Sport</c:v>
                  </c:pt>
                  <c:pt idx="42">
                    <c:v>Vasco</c:v>
                  </c:pt>
                  <c:pt idx="43">
                    <c:v>VitÃ³ria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A23-4A2F-83A3-0FD2D80EE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34960"/>
        <c:axId val="21822480"/>
      </c:scatterChart>
      <c:valAx>
        <c:axId val="218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22480"/>
        <c:crosses val="autoZero"/>
        <c:crossBetween val="midCat"/>
      </c:valAx>
      <c:valAx>
        <c:axId val="218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3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466723</xdr:colOff>
      <xdr:row>3</xdr:row>
      <xdr:rowOff>128587</xdr:rowOff>
    </xdr:from>
    <xdr:to>
      <xdr:col>14</xdr:col>
      <xdr:colOff>333375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363B82-594F-47E5-ABE9-9DB25FADE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3</xdr:row>
      <xdr:rowOff>185737</xdr:rowOff>
    </xdr:from>
    <xdr:to>
      <xdr:col>13</xdr:col>
      <xdr:colOff>19049</xdr:colOff>
      <xdr:row>18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318B72-522F-3863-D5DD-2BE27F0A2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266699</xdr:colOff>
      <xdr:row>4</xdr:row>
      <xdr:rowOff>4762</xdr:rowOff>
    </xdr:from>
    <xdr:to>
      <xdr:col>15</xdr:col>
      <xdr:colOff>104775</xdr:colOff>
      <xdr:row>18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0A8BE0-0C6F-E1C4-AF4B-D57079674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3</xdr:row>
      <xdr:rowOff>157162</xdr:rowOff>
    </xdr:from>
    <xdr:to>
      <xdr:col>16</xdr:col>
      <xdr:colOff>76200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1FD881-7E19-B8CF-D155-B6058F705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0</xdr:row>
      <xdr:rowOff>95250</xdr:rowOff>
    </xdr:from>
    <xdr:to>
      <xdr:col>19</xdr:col>
      <xdr:colOff>47625</xdr:colOff>
      <xdr:row>51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9BFAFB-5DD2-C981-3384-92F28FA52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" refreshedDate="46127.439893287039" createdVersion="8" refreshedVersion="8" minRefreshableVersion="3" recordCount="450" xr:uid="{D884C820-A281-49A9-82AC-2E1C6D98A8CB}">
  <cacheSource type="worksheet">
    <worksheetSource ref="A1:K451" sheet="brasileirao"/>
  </cacheSource>
  <cacheFields count="11">
    <cacheField name="season" numFmtId="0">
      <sharedItems containsSemiMixedTypes="0" containsString="0" containsNumber="1" containsInteger="1" minValue="2003" maxValue="2024" count="22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lace" numFmtId="0">
      <sharedItems containsSemiMixedTypes="0" containsString="0" containsNumber="1" containsInteger="1" minValue="1" maxValue="24"/>
    </cacheField>
    <cacheField name="team" numFmtId="0">
      <sharedItems count="44">
        <s v="Cruzeiro"/>
        <s v="Santos"/>
        <s v="SÃ£o Paulo"/>
        <s v="SÃ£o Caetano"/>
        <s v="Coritiba"/>
        <s v="AtlÃ©tico Mineiro"/>
        <s v="Internacional"/>
        <s v="Flamengo"/>
        <s v="GoiÃ¡s"/>
        <s v="ParanÃ¡"/>
        <s v="Figueirense"/>
        <s v="Athletico Paranaense"/>
        <s v="Guarani"/>
        <s v="CriciÃºma"/>
        <s v="Corinthians"/>
        <s v="VitÃ³ria"/>
        <s v="Vasco"/>
        <s v="Juventude"/>
        <s v="Fluminense"/>
        <s v="Ponte Preta"/>
        <s v="GrÃªmio"/>
        <s v="Paysandu"/>
        <s v="Fortaleza"/>
        <s v="Bahia"/>
        <s v="Palmeiras"/>
        <s v="Botafogo"/>
        <s v="Brasiliense"/>
        <s v="Santa Cruz"/>
        <s v="Sport"/>
        <s v="NÃ¡utico"/>
        <s v="AmÃ©rica-RN"/>
        <s v="Portuguesa"/>
        <s v="Ipatinga"/>
        <s v="AvaÃ­"/>
        <s v="GrÃªmio Barueri"/>
        <s v="Santo AndrÃ©"/>
        <s v="CearÃ¡"/>
        <s v="AtlÃ©tico Goianiense"/>
        <s v="AmÃ©rica Mineiro"/>
        <s v="Chapecoense"/>
        <s v="Joinville"/>
        <s v="CSA"/>
        <s v="Red Bull Bragantino"/>
        <s v="CuiabÃ¡"/>
      </sharedItems>
    </cacheField>
    <cacheField name="points" numFmtId="0">
      <sharedItems containsSemiMixedTypes="0" containsString="0" containsNumber="1" containsInteger="1" minValue="15" maxValue="100"/>
    </cacheField>
    <cacheField name="played" numFmtId="0">
      <sharedItems containsSemiMixedTypes="0" containsString="0" containsNumber="1" containsInteger="1" minValue="37" maxValue="46"/>
    </cacheField>
    <cacheField name="won" numFmtId="0">
      <sharedItems containsSemiMixedTypes="0" containsString="0" containsNumber="1" containsInteger="1" minValue="1" maxValue="31"/>
    </cacheField>
    <cacheField name="draw" numFmtId="0">
      <sharedItems containsSemiMixedTypes="0" containsString="0" containsNumber="1" containsInteger="1" minValue="3" maxValue="18"/>
    </cacheField>
    <cacheField name="loss" numFmtId="0">
      <sharedItems containsSemiMixedTypes="0" containsString="0" containsNumber="1" containsInteger="1" minValue="3" maxValue="29"/>
    </cacheField>
    <cacheField name="goals" numFmtId="0">
      <sharedItems containsSemiMixedTypes="0" containsString="0" containsNumber="1" containsInteger="1" minValue="18" maxValue="103"/>
    </cacheField>
    <cacheField name="goals_taken" numFmtId="0">
      <sharedItems containsSemiMixedTypes="0" containsString="0" containsNumber="1" containsInteger="1" minValue="19" maxValue="92"/>
    </cacheField>
    <cacheField name="goals_diff" numFmtId="0">
      <sharedItems containsSemiMixedTypes="0" containsString="0" containsNumber="1" containsInteger="1" minValue="-57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n v="1"/>
    <x v="0"/>
    <n v="100"/>
    <n v="46"/>
    <n v="31"/>
    <n v="7"/>
    <n v="8"/>
    <n v="102"/>
    <n v="47"/>
    <n v="55"/>
  </r>
  <r>
    <x v="0"/>
    <n v="2"/>
    <x v="1"/>
    <n v="87"/>
    <n v="46"/>
    <n v="25"/>
    <n v="12"/>
    <n v="9"/>
    <n v="93"/>
    <n v="60"/>
    <n v="33"/>
  </r>
  <r>
    <x v="0"/>
    <n v="3"/>
    <x v="2"/>
    <n v="78"/>
    <n v="46"/>
    <n v="22"/>
    <n v="12"/>
    <n v="12"/>
    <n v="81"/>
    <n v="67"/>
    <n v="14"/>
  </r>
  <r>
    <x v="0"/>
    <n v="4"/>
    <x v="3"/>
    <n v="74"/>
    <n v="46"/>
    <n v="19"/>
    <n v="14"/>
    <n v="13"/>
    <n v="53"/>
    <n v="37"/>
    <n v="16"/>
  </r>
  <r>
    <x v="0"/>
    <n v="5"/>
    <x v="4"/>
    <n v="73"/>
    <n v="46"/>
    <n v="21"/>
    <n v="10"/>
    <n v="15"/>
    <n v="67"/>
    <n v="58"/>
    <n v="9"/>
  </r>
  <r>
    <x v="0"/>
    <n v="6"/>
    <x v="5"/>
    <n v="72"/>
    <n v="46"/>
    <n v="19"/>
    <n v="15"/>
    <n v="12"/>
    <n v="76"/>
    <n v="62"/>
    <n v="14"/>
  </r>
  <r>
    <x v="0"/>
    <n v="7"/>
    <x v="6"/>
    <n v="72"/>
    <n v="46"/>
    <n v="20"/>
    <n v="10"/>
    <n v="16"/>
    <n v="59"/>
    <n v="57"/>
    <n v="2"/>
  </r>
  <r>
    <x v="0"/>
    <n v="8"/>
    <x v="7"/>
    <n v="66"/>
    <n v="46"/>
    <n v="18"/>
    <n v="12"/>
    <n v="16"/>
    <n v="66"/>
    <n v="73"/>
    <n v="-7"/>
  </r>
  <r>
    <x v="0"/>
    <n v="9"/>
    <x v="8"/>
    <n v="65"/>
    <n v="46"/>
    <n v="18"/>
    <n v="11"/>
    <n v="17"/>
    <n v="78"/>
    <n v="63"/>
    <n v="15"/>
  </r>
  <r>
    <x v="0"/>
    <n v="10"/>
    <x v="9"/>
    <n v="65"/>
    <n v="46"/>
    <n v="18"/>
    <n v="11"/>
    <n v="17"/>
    <n v="85"/>
    <n v="75"/>
    <n v="10"/>
  </r>
  <r>
    <x v="0"/>
    <n v="11"/>
    <x v="10"/>
    <n v="65"/>
    <n v="46"/>
    <n v="17"/>
    <n v="14"/>
    <n v="15"/>
    <n v="62"/>
    <n v="54"/>
    <n v="8"/>
  </r>
  <r>
    <x v="0"/>
    <n v="12"/>
    <x v="11"/>
    <n v="61"/>
    <n v="46"/>
    <n v="17"/>
    <n v="10"/>
    <n v="19"/>
    <n v="67"/>
    <n v="72"/>
    <n v="-5"/>
  </r>
  <r>
    <x v="0"/>
    <n v="13"/>
    <x v="12"/>
    <n v="61"/>
    <n v="46"/>
    <n v="17"/>
    <n v="10"/>
    <n v="19"/>
    <n v="64"/>
    <n v="72"/>
    <n v="-8"/>
  </r>
  <r>
    <x v="0"/>
    <n v="14"/>
    <x v="13"/>
    <n v="60"/>
    <n v="46"/>
    <n v="17"/>
    <n v="9"/>
    <n v="20"/>
    <n v="57"/>
    <n v="69"/>
    <n v="-12"/>
  </r>
  <r>
    <x v="0"/>
    <n v="15"/>
    <x v="14"/>
    <n v="59"/>
    <n v="46"/>
    <n v="15"/>
    <n v="12"/>
    <n v="19"/>
    <n v="61"/>
    <n v="63"/>
    <n v="-2"/>
  </r>
  <r>
    <x v="0"/>
    <n v="16"/>
    <x v="15"/>
    <n v="56"/>
    <n v="46"/>
    <n v="15"/>
    <n v="11"/>
    <n v="20"/>
    <n v="50"/>
    <n v="64"/>
    <n v="-14"/>
  </r>
  <r>
    <x v="0"/>
    <n v="17"/>
    <x v="16"/>
    <n v="54"/>
    <n v="46"/>
    <n v="13"/>
    <n v="15"/>
    <n v="18"/>
    <n v="57"/>
    <n v="69"/>
    <n v="-12"/>
  </r>
  <r>
    <x v="0"/>
    <n v="18"/>
    <x v="17"/>
    <n v="53"/>
    <n v="46"/>
    <n v="12"/>
    <n v="14"/>
    <n v="20"/>
    <n v="55"/>
    <n v="70"/>
    <n v="-15"/>
  </r>
  <r>
    <x v="0"/>
    <n v="19"/>
    <x v="18"/>
    <n v="52"/>
    <n v="46"/>
    <n v="13"/>
    <n v="11"/>
    <n v="22"/>
    <n v="52"/>
    <n v="77"/>
    <n v="-25"/>
  </r>
  <r>
    <x v="0"/>
    <n v="20"/>
    <x v="19"/>
    <n v="50"/>
    <n v="46"/>
    <n v="11"/>
    <n v="18"/>
    <n v="17"/>
    <n v="63"/>
    <n v="73"/>
    <n v="-10"/>
  </r>
  <r>
    <x v="0"/>
    <n v="21"/>
    <x v="20"/>
    <n v="50"/>
    <n v="46"/>
    <n v="13"/>
    <n v="11"/>
    <n v="22"/>
    <n v="54"/>
    <n v="68"/>
    <n v="-14"/>
  </r>
  <r>
    <x v="0"/>
    <n v="22"/>
    <x v="21"/>
    <n v="49"/>
    <n v="46"/>
    <n v="15"/>
    <n v="12"/>
    <n v="19"/>
    <n v="74"/>
    <n v="77"/>
    <n v="-3"/>
  </r>
  <r>
    <x v="0"/>
    <n v="23"/>
    <x v="22"/>
    <n v="49"/>
    <n v="46"/>
    <n v="12"/>
    <n v="13"/>
    <n v="21"/>
    <n v="58"/>
    <n v="74"/>
    <n v="-16"/>
  </r>
  <r>
    <x v="0"/>
    <n v="24"/>
    <x v="23"/>
    <n v="46"/>
    <n v="46"/>
    <n v="12"/>
    <n v="10"/>
    <n v="24"/>
    <n v="59"/>
    <n v="92"/>
    <n v="-33"/>
  </r>
  <r>
    <x v="1"/>
    <n v="1"/>
    <x v="1"/>
    <n v="89"/>
    <n v="46"/>
    <n v="27"/>
    <n v="8"/>
    <n v="11"/>
    <n v="103"/>
    <n v="58"/>
    <n v="45"/>
  </r>
  <r>
    <x v="1"/>
    <n v="2"/>
    <x v="11"/>
    <n v="86"/>
    <n v="46"/>
    <n v="25"/>
    <n v="11"/>
    <n v="10"/>
    <n v="93"/>
    <n v="56"/>
    <n v="37"/>
  </r>
  <r>
    <x v="1"/>
    <n v="3"/>
    <x v="2"/>
    <n v="82"/>
    <n v="46"/>
    <n v="24"/>
    <n v="10"/>
    <n v="12"/>
    <n v="78"/>
    <n v="43"/>
    <n v="35"/>
  </r>
  <r>
    <x v="1"/>
    <n v="4"/>
    <x v="24"/>
    <n v="79"/>
    <n v="46"/>
    <n v="22"/>
    <n v="13"/>
    <n v="11"/>
    <n v="72"/>
    <n v="47"/>
    <n v="25"/>
  </r>
  <r>
    <x v="1"/>
    <n v="5"/>
    <x v="14"/>
    <n v="74"/>
    <n v="46"/>
    <n v="20"/>
    <n v="14"/>
    <n v="12"/>
    <n v="54"/>
    <n v="54"/>
    <n v="0"/>
  </r>
  <r>
    <x v="1"/>
    <n v="6"/>
    <x v="8"/>
    <n v="72"/>
    <n v="46"/>
    <n v="21"/>
    <n v="9"/>
    <n v="16"/>
    <n v="81"/>
    <n v="68"/>
    <n v="13"/>
  </r>
  <r>
    <x v="1"/>
    <n v="7"/>
    <x v="17"/>
    <n v="70"/>
    <n v="46"/>
    <n v="20"/>
    <n v="10"/>
    <n v="16"/>
    <n v="60"/>
    <n v="66"/>
    <n v="-6"/>
  </r>
  <r>
    <x v="1"/>
    <n v="8"/>
    <x v="6"/>
    <n v="67"/>
    <n v="46"/>
    <n v="20"/>
    <n v="7"/>
    <n v="19"/>
    <n v="66"/>
    <n v="59"/>
    <n v="7"/>
  </r>
  <r>
    <x v="1"/>
    <n v="9"/>
    <x v="18"/>
    <n v="67"/>
    <n v="46"/>
    <n v="18"/>
    <n v="13"/>
    <n v="15"/>
    <n v="65"/>
    <n v="68"/>
    <n v="-3"/>
  </r>
  <r>
    <x v="1"/>
    <n v="10"/>
    <x v="19"/>
    <n v="64"/>
    <n v="46"/>
    <n v="19"/>
    <n v="7"/>
    <n v="20"/>
    <n v="43"/>
    <n v="73"/>
    <n v="-30"/>
  </r>
  <r>
    <x v="1"/>
    <n v="11"/>
    <x v="10"/>
    <n v="63"/>
    <n v="46"/>
    <n v="17"/>
    <n v="12"/>
    <n v="17"/>
    <n v="57"/>
    <n v="59"/>
    <n v="-2"/>
  </r>
  <r>
    <x v="1"/>
    <n v="12"/>
    <x v="4"/>
    <n v="62"/>
    <n v="46"/>
    <n v="15"/>
    <n v="17"/>
    <n v="14"/>
    <n v="53"/>
    <n v="48"/>
    <n v="5"/>
  </r>
  <r>
    <x v="1"/>
    <n v="13"/>
    <x v="0"/>
    <n v="56"/>
    <n v="46"/>
    <n v="16"/>
    <n v="8"/>
    <n v="22"/>
    <n v="69"/>
    <n v="81"/>
    <n v="-12"/>
  </r>
  <r>
    <x v="1"/>
    <n v="14"/>
    <x v="21"/>
    <n v="56"/>
    <n v="46"/>
    <n v="14"/>
    <n v="14"/>
    <n v="18"/>
    <n v="56"/>
    <n v="76"/>
    <n v="-20"/>
  </r>
  <r>
    <x v="1"/>
    <n v="15"/>
    <x v="9"/>
    <n v="54"/>
    <n v="46"/>
    <n v="15"/>
    <n v="9"/>
    <n v="22"/>
    <n v="52"/>
    <n v="73"/>
    <n v="-21"/>
  </r>
  <r>
    <x v="1"/>
    <n v="16"/>
    <x v="16"/>
    <n v="54"/>
    <n v="46"/>
    <n v="14"/>
    <n v="12"/>
    <n v="20"/>
    <n v="64"/>
    <n v="68"/>
    <n v="-4"/>
  </r>
  <r>
    <x v="1"/>
    <n v="17"/>
    <x v="7"/>
    <n v="54"/>
    <n v="46"/>
    <n v="13"/>
    <n v="15"/>
    <n v="18"/>
    <n v="51"/>
    <n v="53"/>
    <n v="-2"/>
  </r>
  <r>
    <x v="1"/>
    <n v="18"/>
    <x v="3"/>
    <n v="53"/>
    <n v="46"/>
    <n v="23"/>
    <n v="8"/>
    <n v="15"/>
    <n v="65"/>
    <n v="49"/>
    <n v="16"/>
  </r>
  <r>
    <x v="1"/>
    <n v="19"/>
    <x v="5"/>
    <n v="53"/>
    <n v="46"/>
    <n v="12"/>
    <n v="17"/>
    <n v="17"/>
    <n v="60"/>
    <n v="66"/>
    <n v="-6"/>
  </r>
  <r>
    <x v="1"/>
    <n v="20"/>
    <x v="25"/>
    <n v="51"/>
    <n v="46"/>
    <n v="11"/>
    <n v="18"/>
    <n v="17"/>
    <n v="62"/>
    <n v="71"/>
    <n v="-9"/>
  </r>
  <r>
    <x v="1"/>
    <n v="21"/>
    <x v="13"/>
    <n v="50"/>
    <n v="46"/>
    <n v="13"/>
    <n v="11"/>
    <n v="22"/>
    <n v="61"/>
    <n v="78"/>
    <n v="-17"/>
  </r>
  <r>
    <x v="1"/>
    <n v="22"/>
    <x v="12"/>
    <n v="49"/>
    <n v="46"/>
    <n v="11"/>
    <n v="16"/>
    <n v="19"/>
    <n v="43"/>
    <n v="55"/>
    <n v="-12"/>
  </r>
  <r>
    <x v="1"/>
    <n v="23"/>
    <x v="15"/>
    <n v="48"/>
    <n v="46"/>
    <n v="13"/>
    <n v="9"/>
    <n v="24"/>
    <n v="68"/>
    <n v="87"/>
    <n v="-19"/>
  </r>
  <r>
    <x v="1"/>
    <n v="24"/>
    <x v="20"/>
    <n v="39"/>
    <n v="46"/>
    <n v="9"/>
    <n v="12"/>
    <n v="25"/>
    <n v="60"/>
    <n v="80"/>
    <n v="-20"/>
  </r>
  <r>
    <x v="2"/>
    <n v="1"/>
    <x v="14"/>
    <n v="81"/>
    <n v="42"/>
    <n v="24"/>
    <n v="9"/>
    <n v="9"/>
    <n v="87"/>
    <n v="59"/>
    <n v="28"/>
  </r>
  <r>
    <x v="2"/>
    <n v="2"/>
    <x v="6"/>
    <n v="78"/>
    <n v="42"/>
    <n v="23"/>
    <n v="9"/>
    <n v="10"/>
    <n v="72"/>
    <n v="49"/>
    <n v="23"/>
  </r>
  <r>
    <x v="2"/>
    <n v="3"/>
    <x v="8"/>
    <n v="74"/>
    <n v="42"/>
    <n v="22"/>
    <n v="8"/>
    <n v="12"/>
    <n v="68"/>
    <n v="51"/>
    <n v="17"/>
  </r>
  <r>
    <x v="2"/>
    <n v="4"/>
    <x v="24"/>
    <n v="70"/>
    <n v="42"/>
    <n v="20"/>
    <n v="10"/>
    <n v="12"/>
    <n v="81"/>
    <n v="65"/>
    <n v="16"/>
  </r>
  <r>
    <x v="2"/>
    <n v="5"/>
    <x v="18"/>
    <n v="68"/>
    <n v="42"/>
    <n v="19"/>
    <n v="11"/>
    <n v="12"/>
    <n v="79"/>
    <n v="70"/>
    <n v="9"/>
  </r>
  <r>
    <x v="2"/>
    <n v="6"/>
    <x v="11"/>
    <n v="61"/>
    <n v="42"/>
    <n v="18"/>
    <n v="7"/>
    <n v="17"/>
    <n v="76"/>
    <n v="67"/>
    <n v="9"/>
  </r>
  <r>
    <x v="2"/>
    <n v="7"/>
    <x v="9"/>
    <n v="61"/>
    <n v="42"/>
    <n v="17"/>
    <n v="10"/>
    <n v="15"/>
    <n v="59"/>
    <n v="51"/>
    <n v="8"/>
  </r>
  <r>
    <x v="2"/>
    <n v="8"/>
    <x v="0"/>
    <n v="60"/>
    <n v="42"/>
    <n v="17"/>
    <n v="9"/>
    <n v="16"/>
    <n v="73"/>
    <n v="72"/>
    <n v="1"/>
  </r>
  <r>
    <x v="2"/>
    <n v="9"/>
    <x v="25"/>
    <n v="59"/>
    <n v="42"/>
    <n v="17"/>
    <n v="8"/>
    <n v="17"/>
    <n v="57"/>
    <n v="56"/>
    <n v="1"/>
  </r>
  <r>
    <x v="2"/>
    <n v="10"/>
    <x v="1"/>
    <n v="59"/>
    <n v="42"/>
    <n v="16"/>
    <n v="11"/>
    <n v="15"/>
    <n v="68"/>
    <n v="71"/>
    <n v="-3"/>
  </r>
  <r>
    <x v="2"/>
    <n v="11"/>
    <x v="2"/>
    <n v="58"/>
    <n v="42"/>
    <n v="16"/>
    <n v="10"/>
    <n v="16"/>
    <n v="77"/>
    <n v="67"/>
    <n v="10"/>
  </r>
  <r>
    <x v="2"/>
    <n v="12"/>
    <x v="16"/>
    <n v="56"/>
    <n v="42"/>
    <n v="15"/>
    <n v="11"/>
    <n v="16"/>
    <n v="74"/>
    <n v="84"/>
    <n v="-10"/>
  </r>
  <r>
    <x v="2"/>
    <n v="13"/>
    <x v="22"/>
    <n v="55"/>
    <n v="42"/>
    <n v="16"/>
    <n v="7"/>
    <n v="19"/>
    <n v="58"/>
    <n v="64"/>
    <n v="-6"/>
  </r>
  <r>
    <x v="2"/>
    <n v="14"/>
    <x v="17"/>
    <n v="55"/>
    <n v="42"/>
    <n v="15"/>
    <n v="10"/>
    <n v="17"/>
    <n v="66"/>
    <n v="72"/>
    <n v="-6"/>
  </r>
  <r>
    <x v="2"/>
    <n v="15"/>
    <x v="7"/>
    <n v="55"/>
    <n v="42"/>
    <n v="14"/>
    <n v="13"/>
    <n v="15"/>
    <n v="56"/>
    <n v="60"/>
    <n v="-4"/>
  </r>
  <r>
    <x v="2"/>
    <n v="16"/>
    <x v="10"/>
    <n v="53"/>
    <n v="42"/>
    <n v="14"/>
    <n v="11"/>
    <n v="17"/>
    <n v="65"/>
    <n v="72"/>
    <n v="-7"/>
  </r>
  <r>
    <x v="2"/>
    <n v="17"/>
    <x v="3"/>
    <n v="52"/>
    <n v="42"/>
    <n v="14"/>
    <n v="10"/>
    <n v="18"/>
    <n v="54"/>
    <n v="60"/>
    <n v="-6"/>
  </r>
  <r>
    <x v="2"/>
    <n v="18"/>
    <x v="19"/>
    <n v="51"/>
    <n v="42"/>
    <n v="15"/>
    <n v="6"/>
    <n v="21"/>
    <n v="63"/>
    <n v="80"/>
    <n v="-17"/>
  </r>
  <r>
    <x v="2"/>
    <n v="19"/>
    <x v="4"/>
    <n v="49"/>
    <n v="42"/>
    <n v="13"/>
    <n v="10"/>
    <n v="19"/>
    <n v="51"/>
    <n v="60"/>
    <n v="-9"/>
  </r>
  <r>
    <x v="2"/>
    <n v="20"/>
    <x v="5"/>
    <n v="47"/>
    <n v="42"/>
    <n v="13"/>
    <n v="8"/>
    <n v="21"/>
    <n v="54"/>
    <n v="59"/>
    <n v="-5"/>
  </r>
  <r>
    <x v="2"/>
    <n v="21"/>
    <x v="21"/>
    <n v="41"/>
    <n v="42"/>
    <n v="12"/>
    <n v="5"/>
    <n v="25"/>
    <n v="63"/>
    <n v="92"/>
    <n v="-29"/>
  </r>
  <r>
    <x v="2"/>
    <n v="22"/>
    <x v="26"/>
    <n v="41"/>
    <n v="42"/>
    <n v="10"/>
    <n v="11"/>
    <n v="21"/>
    <n v="47"/>
    <n v="67"/>
    <n v="-20"/>
  </r>
  <r>
    <x v="3"/>
    <n v="1"/>
    <x v="2"/>
    <n v="78"/>
    <n v="38"/>
    <n v="22"/>
    <n v="12"/>
    <n v="4"/>
    <n v="66"/>
    <n v="32"/>
    <n v="34"/>
  </r>
  <r>
    <x v="3"/>
    <n v="2"/>
    <x v="6"/>
    <n v="69"/>
    <n v="38"/>
    <n v="20"/>
    <n v="9"/>
    <n v="9"/>
    <n v="52"/>
    <n v="36"/>
    <n v="16"/>
  </r>
  <r>
    <x v="3"/>
    <n v="3"/>
    <x v="20"/>
    <n v="67"/>
    <n v="38"/>
    <n v="20"/>
    <n v="7"/>
    <n v="11"/>
    <n v="64"/>
    <n v="45"/>
    <n v="19"/>
  </r>
  <r>
    <x v="3"/>
    <n v="4"/>
    <x v="1"/>
    <n v="64"/>
    <n v="38"/>
    <n v="18"/>
    <n v="10"/>
    <n v="10"/>
    <n v="58"/>
    <n v="36"/>
    <n v="22"/>
  </r>
  <r>
    <x v="3"/>
    <n v="5"/>
    <x v="9"/>
    <n v="60"/>
    <n v="38"/>
    <n v="18"/>
    <n v="6"/>
    <n v="14"/>
    <n v="56"/>
    <n v="49"/>
    <n v="7"/>
  </r>
  <r>
    <x v="3"/>
    <n v="6"/>
    <x v="16"/>
    <n v="59"/>
    <n v="38"/>
    <n v="15"/>
    <n v="14"/>
    <n v="9"/>
    <n v="57"/>
    <n v="50"/>
    <n v="7"/>
  </r>
  <r>
    <x v="3"/>
    <n v="7"/>
    <x v="10"/>
    <n v="57"/>
    <n v="38"/>
    <n v="15"/>
    <n v="12"/>
    <n v="11"/>
    <n v="52"/>
    <n v="44"/>
    <n v="8"/>
  </r>
  <r>
    <x v="3"/>
    <n v="8"/>
    <x v="8"/>
    <n v="55"/>
    <n v="38"/>
    <n v="15"/>
    <n v="10"/>
    <n v="13"/>
    <n v="63"/>
    <n v="49"/>
    <n v="14"/>
  </r>
  <r>
    <x v="3"/>
    <n v="9"/>
    <x v="14"/>
    <n v="53"/>
    <n v="38"/>
    <n v="15"/>
    <n v="8"/>
    <n v="15"/>
    <n v="41"/>
    <n v="46"/>
    <n v="-5"/>
  </r>
  <r>
    <x v="3"/>
    <n v="10"/>
    <x v="0"/>
    <n v="53"/>
    <n v="38"/>
    <n v="14"/>
    <n v="11"/>
    <n v="13"/>
    <n v="52"/>
    <n v="45"/>
    <n v="7"/>
  </r>
  <r>
    <x v="3"/>
    <n v="11"/>
    <x v="7"/>
    <n v="52"/>
    <n v="38"/>
    <n v="15"/>
    <n v="7"/>
    <n v="16"/>
    <n v="44"/>
    <n v="48"/>
    <n v="-4"/>
  </r>
  <r>
    <x v="3"/>
    <n v="12"/>
    <x v="25"/>
    <n v="51"/>
    <n v="38"/>
    <n v="13"/>
    <n v="12"/>
    <n v="13"/>
    <n v="52"/>
    <n v="50"/>
    <n v="2"/>
  </r>
  <r>
    <x v="3"/>
    <n v="13"/>
    <x v="11"/>
    <n v="48"/>
    <n v="38"/>
    <n v="13"/>
    <n v="9"/>
    <n v="16"/>
    <n v="61"/>
    <n v="62"/>
    <n v="-1"/>
  </r>
  <r>
    <x v="3"/>
    <n v="14"/>
    <x v="17"/>
    <n v="47"/>
    <n v="38"/>
    <n v="13"/>
    <n v="8"/>
    <n v="17"/>
    <n v="44"/>
    <n v="54"/>
    <n v="-10"/>
  </r>
  <r>
    <x v="3"/>
    <n v="15"/>
    <x v="18"/>
    <n v="45"/>
    <n v="38"/>
    <n v="11"/>
    <n v="12"/>
    <n v="15"/>
    <n v="48"/>
    <n v="58"/>
    <n v="-10"/>
  </r>
  <r>
    <x v="3"/>
    <n v="16"/>
    <x v="24"/>
    <n v="44"/>
    <n v="38"/>
    <n v="12"/>
    <n v="8"/>
    <n v="18"/>
    <n v="58"/>
    <n v="70"/>
    <n v="-12"/>
  </r>
  <r>
    <x v="3"/>
    <n v="17"/>
    <x v="19"/>
    <n v="39"/>
    <n v="38"/>
    <n v="10"/>
    <n v="9"/>
    <n v="19"/>
    <n v="45"/>
    <n v="65"/>
    <n v="-20"/>
  </r>
  <r>
    <x v="3"/>
    <n v="18"/>
    <x v="22"/>
    <n v="38"/>
    <n v="38"/>
    <n v="8"/>
    <n v="14"/>
    <n v="16"/>
    <n v="39"/>
    <n v="62"/>
    <n v="-23"/>
  </r>
  <r>
    <x v="3"/>
    <n v="19"/>
    <x v="3"/>
    <n v="36"/>
    <n v="38"/>
    <n v="9"/>
    <n v="9"/>
    <n v="20"/>
    <n v="37"/>
    <n v="53"/>
    <n v="-16"/>
  </r>
  <r>
    <x v="3"/>
    <n v="20"/>
    <x v="27"/>
    <n v="28"/>
    <n v="38"/>
    <n v="7"/>
    <n v="7"/>
    <n v="24"/>
    <n v="41"/>
    <n v="76"/>
    <n v="-35"/>
  </r>
  <r>
    <x v="4"/>
    <n v="1"/>
    <x v="2"/>
    <n v="77"/>
    <n v="38"/>
    <n v="23"/>
    <n v="8"/>
    <n v="7"/>
    <n v="55"/>
    <n v="19"/>
    <n v="36"/>
  </r>
  <r>
    <x v="4"/>
    <n v="2"/>
    <x v="1"/>
    <n v="62"/>
    <n v="38"/>
    <n v="19"/>
    <n v="5"/>
    <n v="14"/>
    <n v="57"/>
    <n v="47"/>
    <n v="10"/>
  </r>
  <r>
    <x v="4"/>
    <n v="3"/>
    <x v="7"/>
    <n v="61"/>
    <n v="38"/>
    <n v="17"/>
    <n v="10"/>
    <n v="11"/>
    <n v="55"/>
    <n v="49"/>
    <n v="6"/>
  </r>
  <r>
    <x v="4"/>
    <n v="4"/>
    <x v="18"/>
    <n v="61"/>
    <n v="38"/>
    <n v="16"/>
    <n v="13"/>
    <n v="9"/>
    <n v="57"/>
    <n v="39"/>
    <n v="18"/>
  </r>
  <r>
    <x v="4"/>
    <n v="5"/>
    <x v="0"/>
    <n v="60"/>
    <n v="38"/>
    <n v="18"/>
    <n v="6"/>
    <n v="14"/>
    <n v="73"/>
    <n v="58"/>
    <n v="15"/>
  </r>
  <r>
    <x v="4"/>
    <n v="6"/>
    <x v="20"/>
    <n v="58"/>
    <n v="38"/>
    <n v="17"/>
    <n v="7"/>
    <n v="14"/>
    <n v="44"/>
    <n v="43"/>
    <n v="1"/>
  </r>
  <r>
    <x v="4"/>
    <n v="7"/>
    <x v="24"/>
    <n v="58"/>
    <n v="38"/>
    <n v="16"/>
    <n v="10"/>
    <n v="12"/>
    <n v="48"/>
    <n v="47"/>
    <n v="1"/>
  </r>
  <r>
    <x v="4"/>
    <n v="8"/>
    <x v="5"/>
    <n v="55"/>
    <n v="38"/>
    <n v="15"/>
    <n v="10"/>
    <n v="13"/>
    <n v="63"/>
    <n v="51"/>
    <n v="12"/>
  </r>
  <r>
    <x v="4"/>
    <n v="9"/>
    <x v="25"/>
    <n v="55"/>
    <n v="38"/>
    <n v="14"/>
    <n v="13"/>
    <n v="11"/>
    <n v="62"/>
    <n v="58"/>
    <n v="4"/>
  </r>
  <r>
    <x v="4"/>
    <n v="10"/>
    <x v="16"/>
    <n v="54"/>
    <n v="38"/>
    <n v="15"/>
    <n v="9"/>
    <n v="14"/>
    <n v="58"/>
    <n v="47"/>
    <n v="11"/>
  </r>
  <r>
    <x v="4"/>
    <n v="11"/>
    <x v="6"/>
    <n v="54"/>
    <n v="38"/>
    <n v="15"/>
    <n v="9"/>
    <n v="14"/>
    <n v="49"/>
    <n v="44"/>
    <n v="5"/>
  </r>
  <r>
    <x v="4"/>
    <n v="12"/>
    <x v="11"/>
    <n v="54"/>
    <n v="38"/>
    <n v="14"/>
    <n v="12"/>
    <n v="12"/>
    <n v="51"/>
    <n v="50"/>
    <n v="1"/>
  </r>
  <r>
    <x v="4"/>
    <n v="13"/>
    <x v="10"/>
    <n v="53"/>
    <n v="38"/>
    <n v="14"/>
    <n v="11"/>
    <n v="13"/>
    <n v="57"/>
    <n v="56"/>
    <n v="1"/>
  </r>
  <r>
    <x v="4"/>
    <n v="14"/>
    <x v="28"/>
    <n v="51"/>
    <n v="38"/>
    <n v="14"/>
    <n v="9"/>
    <n v="15"/>
    <n v="54"/>
    <n v="55"/>
    <n v="-1"/>
  </r>
  <r>
    <x v="4"/>
    <n v="15"/>
    <x v="29"/>
    <n v="49"/>
    <n v="38"/>
    <n v="14"/>
    <n v="7"/>
    <n v="17"/>
    <n v="66"/>
    <n v="63"/>
    <n v="3"/>
  </r>
  <r>
    <x v="4"/>
    <n v="16"/>
    <x v="8"/>
    <n v="45"/>
    <n v="38"/>
    <n v="13"/>
    <n v="6"/>
    <n v="19"/>
    <n v="49"/>
    <n v="62"/>
    <n v="-13"/>
  </r>
  <r>
    <x v="4"/>
    <n v="17"/>
    <x v="14"/>
    <n v="44"/>
    <n v="38"/>
    <n v="10"/>
    <n v="14"/>
    <n v="14"/>
    <n v="40"/>
    <n v="50"/>
    <n v="-10"/>
  </r>
  <r>
    <x v="4"/>
    <n v="18"/>
    <x v="17"/>
    <n v="41"/>
    <n v="38"/>
    <n v="11"/>
    <n v="8"/>
    <n v="19"/>
    <n v="43"/>
    <n v="65"/>
    <n v="-22"/>
  </r>
  <r>
    <x v="4"/>
    <n v="19"/>
    <x v="9"/>
    <n v="41"/>
    <n v="38"/>
    <n v="11"/>
    <n v="8"/>
    <n v="19"/>
    <n v="42"/>
    <n v="64"/>
    <n v="-22"/>
  </r>
  <r>
    <x v="4"/>
    <n v="20"/>
    <x v="30"/>
    <n v="17"/>
    <n v="38"/>
    <n v="4"/>
    <n v="5"/>
    <n v="29"/>
    <n v="24"/>
    <n v="80"/>
    <n v="-56"/>
  </r>
  <r>
    <x v="5"/>
    <n v="1"/>
    <x v="2"/>
    <n v="75"/>
    <n v="38"/>
    <n v="21"/>
    <n v="12"/>
    <n v="5"/>
    <n v="66"/>
    <n v="36"/>
    <n v="30"/>
  </r>
  <r>
    <x v="5"/>
    <n v="2"/>
    <x v="20"/>
    <n v="72"/>
    <n v="38"/>
    <n v="21"/>
    <n v="9"/>
    <n v="8"/>
    <n v="59"/>
    <n v="35"/>
    <n v="24"/>
  </r>
  <r>
    <x v="5"/>
    <n v="3"/>
    <x v="0"/>
    <n v="67"/>
    <n v="38"/>
    <n v="21"/>
    <n v="4"/>
    <n v="13"/>
    <n v="59"/>
    <n v="44"/>
    <n v="15"/>
  </r>
  <r>
    <x v="5"/>
    <n v="4"/>
    <x v="24"/>
    <n v="65"/>
    <n v="38"/>
    <n v="19"/>
    <n v="8"/>
    <n v="11"/>
    <n v="55"/>
    <n v="45"/>
    <n v="10"/>
  </r>
  <r>
    <x v="5"/>
    <n v="5"/>
    <x v="7"/>
    <n v="64"/>
    <n v="38"/>
    <n v="18"/>
    <n v="10"/>
    <n v="10"/>
    <n v="67"/>
    <n v="48"/>
    <n v="19"/>
  </r>
  <r>
    <x v="5"/>
    <n v="6"/>
    <x v="6"/>
    <n v="54"/>
    <n v="38"/>
    <n v="15"/>
    <n v="9"/>
    <n v="14"/>
    <n v="48"/>
    <n v="47"/>
    <n v="1"/>
  </r>
  <r>
    <x v="5"/>
    <n v="7"/>
    <x v="25"/>
    <n v="53"/>
    <n v="38"/>
    <n v="15"/>
    <n v="8"/>
    <n v="15"/>
    <n v="51"/>
    <n v="44"/>
    <n v="7"/>
  </r>
  <r>
    <x v="5"/>
    <n v="8"/>
    <x v="8"/>
    <n v="53"/>
    <n v="38"/>
    <n v="14"/>
    <n v="11"/>
    <n v="13"/>
    <n v="57"/>
    <n v="47"/>
    <n v="10"/>
  </r>
  <r>
    <x v="5"/>
    <n v="9"/>
    <x v="4"/>
    <n v="53"/>
    <n v="38"/>
    <n v="14"/>
    <n v="11"/>
    <n v="13"/>
    <n v="55"/>
    <n v="48"/>
    <n v="7"/>
  </r>
  <r>
    <x v="5"/>
    <n v="10"/>
    <x v="15"/>
    <n v="52"/>
    <n v="38"/>
    <n v="15"/>
    <n v="7"/>
    <n v="16"/>
    <n v="48"/>
    <n v="44"/>
    <n v="4"/>
  </r>
  <r>
    <x v="5"/>
    <n v="11"/>
    <x v="28"/>
    <n v="52"/>
    <n v="38"/>
    <n v="14"/>
    <n v="10"/>
    <n v="14"/>
    <n v="48"/>
    <n v="45"/>
    <n v="3"/>
  </r>
  <r>
    <x v="5"/>
    <n v="12"/>
    <x v="5"/>
    <n v="48"/>
    <n v="38"/>
    <n v="12"/>
    <n v="12"/>
    <n v="14"/>
    <n v="50"/>
    <n v="61"/>
    <n v="-11"/>
  </r>
  <r>
    <x v="5"/>
    <n v="13"/>
    <x v="11"/>
    <n v="45"/>
    <n v="38"/>
    <n v="12"/>
    <n v="9"/>
    <n v="17"/>
    <n v="45"/>
    <n v="54"/>
    <n v="-9"/>
  </r>
  <r>
    <x v="5"/>
    <n v="14"/>
    <x v="18"/>
    <n v="45"/>
    <n v="38"/>
    <n v="11"/>
    <n v="12"/>
    <n v="15"/>
    <n v="49"/>
    <n v="48"/>
    <n v="1"/>
  </r>
  <r>
    <x v="5"/>
    <n v="15"/>
    <x v="1"/>
    <n v="45"/>
    <n v="38"/>
    <n v="11"/>
    <n v="12"/>
    <n v="15"/>
    <n v="44"/>
    <n v="53"/>
    <n v="-9"/>
  </r>
  <r>
    <x v="5"/>
    <n v="16"/>
    <x v="29"/>
    <n v="44"/>
    <n v="38"/>
    <n v="11"/>
    <n v="11"/>
    <n v="16"/>
    <n v="44"/>
    <n v="54"/>
    <n v="-10"/>
  </r>
  <r>
    <x v="5"/>
    <n v="17"/>
    <x v="10"/>
    <n v="44"/>
    <n v="38"/>
    <n v="11"/>
    <n v="11"/>
    <n v="16"/>
    <n v="49"/>
    <n v="73"/>
    <n v="-24"/>
  </r>
  <r>
    <x v="5"/>
    <n v="18"/>
    <x v="16"/>
    <n v="40"/>
    <n v="38"/>
    <n v="11"/>
    <n v="7"/>
    <n v="20"/>
    <n v="56"/>
    <n v="72"/>
    <n v="-16"/>
  </r>
  <r>
    <x v="5"/>
    <n v="19"/>
    <x v="31"/>
    <n v="38"/>
    <n v="38"/>
    <n v="9"/>
    <n v="11"/>
    <n v="18"/>
    <n v="48"/>
    <n v="70"/>
    <n v="-22"/>
  </r>
  <r>
    <x v="5"/>
    <n v="20"/>
    <x v="32"/>
    <n v="35"/>
    <n v="38"/>
    <n v="9"/>
    <n v="8"/>
    <n v="21"/>
    <n v="37"/>
    <n v="67"/>
    <n v="-30"/>
  </r>
  <r>
    <x v="6"/>
    <n v="1"/>
    <x v="7"/>
    <n v="67"/>
    <n v="38"/>
    <n v="19"/>
    <n v="10"/>
    <n v="9"/>
    <n v="58"/>
    <n v="44"/>
    <n v="14"/>
  </r>
  <r>
    <x v="6"/>
    <n v="2"/>
    <x v="6"/>
    <n v="65"/>
    <n v="38"/>
    <n v="19"/>
    <n v="8"/>
    <n v="11"/>
    <n v="65"/>
    <n v="44"/>
    <n v="21"/>
  </r>
  <r>
    <x v="6"/>
    <n v="3"/>
    <x v="2"/>
    <n v="65"/>
    <n v="38"/>
    <n v="18"/>
    <n v="11"/>
    <n v="9"/>
    <n v="57"/>
    <n v="42"/>
    <n v="15"/>
  </r>
  <r>
    <x v="6"/>
    <n v="4"/>
    <x v="0"/>
    <n v="62"/>
    <n v="38"/>
    <n v="18"/>
    <n v="8"/>
    <n v="12"/>
    <n v="58"/>
    <n v="53"/>
    <n v="5"/>
  </r>
  <r>
    <x v="6"/>
    <n v="5"/>
    <x v="24"/>
    <n v="62"/>
    <n v="38"/>
    <n v="17"/>
    <n v="11"/>
    <n v="10"/>
    <n v="58"/>
    <n v="45"/>
    <n v="13"/>
  </r>
  <r>
    <x v="6"/>
    <n v="6"/>
    <x v="33"/>
    <n v="57"/>
    <n v="38"/>
    <n v="15"/>
    <n v="12"/>
    <n v="11"/>
    <n v="61"/>
    <n v="52"/>
    <n v="9"/>
  </r>
  <r>
    <x v="6"/>
    <n v="7"/>
    <x v="5"/>
    <n v="56"/>
    <n v="38"/>
    <n v="16"/>
    <n v="8"/>
    <n v="14"/>
    <n v="55"/>
    <n v="56"/>
    <n v="-1"/>
  </r>
  <r>
    <x v="6"/>
    <n v="8"/>
    <x v="20"/>
    <n v="55"/>
    <n v="38"/>
    <n v="15"/>
    <n v="10"/>
    <n v="13"/>
    <n v="67"/>
    <n v="46"/>
    <n v="21"/>
  </r>
  <r>
    <x v="6"/>
    <n v="9"/>
    <x v="8"/>
    <n v="55"/>
    <n v="38"/>
    <n v="15"/>
    <n v="10"/>
    <n v="13"/>
    <n v="64"/>
    <n v="65"/>
    <n v="-1"/>
  </r>
  <r>
    <x v="6"/>
    <n v="10"/>
    <x v="14"/>
    <n v="52"/>
    <n v="38"/>
    <n v="14"/>
    <n v="10"/>
    <n v="14"/>
    <n v="50"/>
    <n v="54"/>
    <n v="-4"/>
  </r>
  <r>
    <x v="6"/>
    <n v="11"/>
    <x v="34"/>
    <n v="49"/>
    <n v="38"/>
    <n v="12"/>
    <n v="13"/>
    <n v="13"/>
    <n v="59"/>
    <n v="52"/>
    <n v="7"/>
  </r>
  <r>
    <x v="6"/>
    <n v="12"/>
    <x v="1"/>
    <n v="49"/>
    <n v="38"/>
    <n v="12"/>
    <n v="13"/>
    <n v="13"/>
    <n v="58"/>
    <n v="58"/>
    <n v="0"/>
  </r>
  <r>
    <x v="6"/>
    <n v="13"/>
    <x v="15"/>
    <n v="48"/>
    <n v="38"/>
    <n v="13"/>
    <n v="9"/>
    <n v="16"/>
    <n v="51"/>
    <n v="57"/>
    <n v="-6"/>
  </r>
  <r>
    <x v="6"/>
    <n v="14"/>
    <x v="11"/>
    <n v="48"/>
    <n v="38"/>
    <n v="13"/>
    <n v="9"/>
    <n v="16"/>
    <n v="42"/>
    <n v="49"/>
    <n v="-7"/>
  </r>
  <r>
    <x v="6"/>
    <n v="15"/>
    <x v="25"/>
    <n v="47"/>
    <n v="38"/>
    <n v="11"/>
    <n v="14"/>
    <n v="13"/>
    <n v="52"/>
    <n v="58"/>
    <n v="-6"/>
  </r>
  <r>
    <x v="6"/>
    <n v="16"/>
    <x v="18"/>
    <n v="46"/>
    <n v="38"/>
    <n v="11"/>
    <n v="13"/>
    <n v="14"/>
    <n v="49"/>
    <n v="56"/>
    <n v="-7"/>
  </r>
  <r>
    <x v="6"/>
    <n v="17"/>
    <x v="4"/>
    <n v="45"/>
    <n v="38"/>
    <n v="12"/>
    <n v="9"/>
    <n v="17"/>
    <n v="48"/>
    <n v="60"/>
    <n v="-12"/>
  </r>
  <r>
    <x v="6"/>
    <n v="18"/>
    <x v="35"/>
    <n v="41"/>
    <n v="38"/>
    <n v="11"/>
    <n v="8"/>
    <n v="19"/>
    <n v="46"/>
    <n v="61"/>
    <n v="-15"/>
  </r>
  <r>
    <x v="6"/>
    <n v="19"/>
    <x v="29"/>
    <n v="38"/>
    <n v="38"/>
    <n v="10"/>
    <n v="8"/>
    <n v="20"/>
    <n v="48"/>
    <n v="71"/>
    <n v="-23"/>
  </r>
  <r>
    <x v="6"/>
    <n v="20"/>
    <x v="28"/>
    <n v="31"/>
    <n v="38"/>
    <n v="7"/>
    <n v="10"/>
    <n v="21"/>
    <n v="48"/>
    <n v="71"/>
    <n v="-23"/>
  </r>
  <r>
    <x v="7"/>
    <n v="1"/>
    <x v="18"/>
    <n v="71"/>
    <n v="38"/>
    <n v="20"/>
    <n v="11"/>
    <n v="7"/>
    <n v="62"/>
    <n v="36"/>
    <n v="26"/>
  </r>
  <r>
    <x v="7"/>
    <n v="2"/>
    <x v="0"/>
    <n v="69"/>
    <n v="38"/>
    <n v="20"/>
    <n v="9"/>
    <n v="9"/>
    <n v="53"/>
    <n v="38"/>
    <n v="15"/>
  </r>
  <r>
    <x v="7"/>
    <n v="3"/>
    <x v="14"/>
    <n v="68"/>
    <n v="38"/>
    <n v="19"/>
    <n v="11"/>
    <n v="8"/>
    <n v="65"/>
    <n v="41"/>
    <n v="24"/>
  </r>
  <r>
    <x v="7"/>
    <n v="4"/>
    <x v="20"/>
    <n v="63"/>
    <n v="38"/>
    <n v="17"/>
    <n v="12"/>
    <n v="9"/>
    <n v="68"/>
    <n v="43"/>
    <n v="25"/>
  </r>
  <r>
    <x v="7"/>
    <n v="5"/>
    <x v="11"/>
    <n v="60"/>
    <n v="38"/>
    <n v="17"/>
    <n v="9"/>
    <n v="12"/>
    <n v="43"/>
    <n v="45"/>
    <n v="-2"/>
  </r>
  <r>
    <x v="7"/>
    <n v="6"/>
    <x v="25"/>
    <n v="59"/>
    <n v="38"/>
    <n v="14"/>
    <n v="17"/>
    <n v="7"/>
    <n v="54"/>
    <n v="42"/>
    <n v="12"/>
  </r>
  <r>
    <x v="7"/>
    <n v="7"/>
    <x v="6"/>
    <n v="58"/>
    <n v="38"/>
    <n v="16"/>
    <n v="10"/>
    <n v="12"/>
    <n v="48"/>
    <n v="41"/>
    <n v="7"/>
  </r>
  <r>
    <x v="7"/>
    <n v="8"/>
    <x v="1"/>
    <n v="56"/>
    <n v="38"/>
    <n v="15"/>
    <n v="11"/>
    <n v="12"/>
    <n v="63"/>
    <n v="50"/>
    <n v="13"/>
  </r>
  <r>
    <x v="7"/>
    <n v="9"/>
    <x v="2"/>
    <n v="55"/>
    <n v="38"/>
    <n v="15"/>
    <n v="10"/>
    <n v="13"/>
    <n v="54"/>
    <n v="54"/>
    <n v="0"/>
  </r>
  <r>
    <x v="7"/>
    <n v="10"/>
    <x v="24"/>
    <n v="50"/>
    <n v="38"/>
    <n v="12"/>
    <n v="14"/>
    <n v="12"/>
    <n v="42"/>
    <n v="43"/>
    <n v="-1"/>
  </r>
  <r>
    <x v="7"/>
    <n v="11"/>
    <x v="16"/>
    <n v="49"/>
    <n v="38"/>
    <n v="11"/>
    <n v="16"/>
    <n v="11"/>
    <n v="43"/>
    <n v="45"/>
    <n v="-2"/>
  </r>
  <r>
    <x v="7"/>
    <n v="12"/>
    <x v="36"/>
    <n v="47"/>
    <n v="38"/>
    <n v="10"/>
    <n v="17"/>
    <n v="11"/>
    <n v="35"/>
    <n v="44"/>
    <n v="-9"/>
  </r>
  <r>
    <x v="7"/>
    <n v="13"/>
    <x v="5"/>
    <n v="45"/>
    <n v="38"/>
    <n v="13"/>
    <n v="6"/>
    <n v="19"/>
    <n v="52"/>
    <n v="64"/>
    <n v="-12"/>
  </r>
  <r>
    <x v="7"/>
    <n v="14"/>
    <x v="7"/>
    <n v="44"/>
    <n v="38"/>
    <n v="9"/>
    <n v="17"/>
    <n v="12"/>
    <n v="41"/>
    <n v="44"/>
    <n v="-3"/>
  </r>
  <r>
    <x v="7"/>
    <n v="15"/>
    <x v="33"/>
    <n v="43"/>
    <n v="38"/>
    <n v="11"/>
    <n v="10"/>
    <n v="17"/>
    <n v="49"/>
    <n v="58"/>
    <n v="-9"/>
  </r>
  <r>
    <x v="7"/>
    <n v="16"/>
    <x v="37"/>
    <n v="42"/>
    <n v="38"/>
    <n v="11"/>
    <n v="9"/>
    <n v="18"/>
    <n v="51"/>
    <n v="57"/>
    <n v="-6"/>
  </r>
  <r>
    <x v="7"/>
    <n v="17"/>
    <x v="15"/>
    <n v="42"/>
    <n v="38"/>
    <n v="9"/>
    <n v="15"/>
    <n v="14"/>
    <n v="42"/>
    <n v="48"/>
    <n v="-6"/>
  </r>
  <r>
    <x v="7"/>
    <n v="18"/>
    <x v="12"/>
    <n v="37"/>
    <n v="38"/>
    <n v="8"/>
    <n v="13"/>
    <n v="17"/>
    <n v="33"/>
    <n v="53"/>
    <n v="-20"/>
  </r>
  <r>
    <x v="7"/>
    <n v="19"/>
    <x v="8"/>
    <n v="33"/>
    <n v="38"/>
    <n v="8"/>
    <n v="9"/>
    <n v="21"/>
    <n v="41"/>
    <n v="68"/>
    <n v="-27"/>
  </r>
  <r>
    <x v="7"/>
    <n v="20"/>
    <x v="34"/>
    <n v="28"/>
    <n v="38"/>
    <n v="7"/>
    <n v="10"/>
    <n v="21"/>
    <n v="39"/>
    <n v="64"/>
    <n v="-25"/>
  </r>
  <r>
    <x v="8"/>
    <n v="1"/>
    <x v="14"/>
    <n v="71"/>
    <n v="38"/>
    <n v="21"/>
    <n v="8"/>
    <n v="9"/>
    <n v="53"/>
    <n v="36"/>
    <n v="17"/>
  </r>
  <r>
    <x v="8"/>
    <n v="2"/>
    <x v="16"/>
    <n v="69"/>
    <n v="38"/>
    <n v="19"/>
    <n v="12"/>
    <n v="7"/>
    <n v="57"/>
    <n v="40"/>
    <n v="17"/>
  </r>
  <r>
    <x v="8"/>
    <n v="3"/>
    <x v="18"/>
    <n v="63"/>
    <n v="38"/>
    <n v="20"/>
    <n v="3"/>
    <n v="15"/>
    <n v="60"/>
    <n v="51"/>
    <n v="9"/>
  </r>
  <r>
    <x v="8"/>
    <n v="4"/>
    <x v="7"/>
    <n v="61"/>
    <n v="38"/>
    <n v="15"/>
    <n v="16"/>
    <n v="7"/>
    <n v="59"/>
    <n v="47"/>
    <n v="12"/>
  </r>
  <r>
    <x v="8"/>
    <n v="5"/>
    <x v="6"/>
    <n v="60"/>
    <n v="38"/>
    <n v="16"/>
    <n v="12"/>
    <n v="10"/>
    <n v="57"/>
    <n v="43"/>
    <n v="14"/>
  </r>
  <r>
    <x v="8"/>
    <n v="6"/>
    <x v="2"/>
    <n v="59"/>
    <n v="38"/>
    <n v="16"/>
    <n v="11"/>
    <n v="11"/>
    <n v="57"/>
    <n v="46"/>
    <n v="11"/>
  </r>
  <r>
    <x v="8"/>
    <n v="7"/>
    <x v="10"/>
    <n v="58"/>
    <n v="38"/>
    <n v="15"/>
    <n v="13"/>
    <n v="10"/>
    <n v="46"/>
    <n v="45"/>
    <n v="1"/>
  </r>
  <r>
    <x v="8"/>
    <n v="8"/>
    <x v="4"/>
    <n v="57"/>
    <n v="38"/>
    <n v="16"/>
    <n v="9"/>
    <n v="13"/>
    <n v="57"/>
    <n v="41"/>
    <n v="16"/>
  </r>
  <r>
    <x v="8"/>
    <n v="9"/>
    <x v="25"/>
    <n v="56"/>
    <n v="38"/>
    <n v="16"/>
    <n v="8"/>
    <n v="14"/>
    <n v="52"/>
    <n v="49"/>
    <n v="3"/>
  </r>
  <r>
    <x v="8"/>
    <n v="10"/>
    <x v="1"/>
    <n v="53"/>
    <n v="38"/>
    <n v="15"/>
    <n v="8"/>
    <n v="15"/>
    <n v="55"/>
    <n v="55"/>
    <n v="0"/>
  </r>
  <r>
    <x v="8"/>
    <n v="11"/>
    <x v="24"/>
    <n v="50"/>
    <n v="38"/>
    <n v="11"/>
    <n v="17"/>
    <n v="10"/>
    <n v="43"/>
    <n v="39"/>
    <n v="4"/>
  </r>
  <r>
    <x v="8"/>
    <n v="12"/>
    <x v="20"/>
    <n v="48"/>
    <n v="38"/>
    <n v="13"/>
    <n v="9"/>
    <n v="16"/>
    <n v="49"/>
    <n v="57"/>
    <n v="-8"/>
  </r>
  <r>
    <x v="8"/>
    <n v="13"/>
    <x v="37"/>
    <n v="48"/>
    <n v="38"/>
    <n v="12"/>
    <n v="12"/>
    <n v="14"/>
    <n v="50"/>
    <n v="45"/>
    <n v="5"/>
  </r>
  <r>
    <x v="8"/>
    <n v="14"/>
    <x v="23"/>
    <n v="46"/>
    <n v="38"/>
    <n v="11"/>
    <n v="13"/>
    <n v="14"/>
    <n v="43"/>
    <n v="49"/>
    <n v="-6"/>
  </r>
  <r>
    <x v="8"/>
    <n v="15"/>
    <x v="5"/>
    <n v="45"/>
    <n v="38"/>
    <n v="13"/>
    <n v="6"/>
    <n v="19"/>
    <n v="50"/>
    <n v="60"/>
    <n v="-10"/>
  </r>
  <r>
    <x v="8"/>
    <n v="16"/>
    <x v="0"/>
    <n v="43"/>
    <n v="38"/>
    <n v="11"/>
    <n v="10"/>
    <n v="17"/>
    <n v="48"/>
    <n v="51"/>
    <n v="-3"/>
  </r>
  <r>
    <x v="8"/>
    <n v="17"/>
    <x v="11"/>
    <n v="41"/>
    <n v="38"/>
    <n v="10"/>
    <n v="11"/>
    <n v="17"/>
    <n v="38"/>
    <n v="55"/>
    <n v="-17"/>
  </r>
  <r>
    <x v="8"/>
    <n v="18"/>
    <x v="36"/>
    <n v="39"/>
    <n v="38"/>
    <n v="10"/>
    <n v="9"/>
    <n v="19"/>
    <n v="47"/>
    <n v="64"/>
    <n v="-17"/>
  </r>
  <r>
    <x v="8"/>
    <n v="19"/>
    <x v="38"/>
    <n v="37"/>
    <n v="38"/>
    <n v="8"/>
    <n v="13"/>
    <n v="17"/>
    <n v="51"/>
    <n v="69"/>
    <n v="-18"/>
  </r>
  <r>
    <x v="8"/>
    <n v="20"/>
    <x v="33"/>
    <n v="31"/>
    <n v="38"/>
    <n v="7"/>
    <n v="10"/>
    <n v="21"/>
    <n v="45"/>
    <n v="75"/>
    <n v="-30"/>
  </r>
  <r>
    <x v="9"/>
    <n v="1"/>
    <x v="18"/>
    <n v="77"/>
    <n v="38"/>
    <n v="22"/>
    <n v="11"/>
    <n v="5"/>
    <n v="61"/>
    <n v="33"/>
    <n v="28"/>
  </r>
  <r>
    <x v="9"/>
    <n v="2"/>
    <x v="5"/>
    <n v="72"/>
    <n v="38"/>
    <n v="20"/>
    <n v="12"/>
    <n v="6"/>
    <n v="64"/>
    <n v="37"/>
    <n v="27"/>
  </r>
  <r>
    <x v="9"/>
    <n v="3"/>
    <x v="20"/>
    <n v="71"/>
    <n v="38"/>
    <n v="20"/>
    <n v="11"/>
    <n v="7"/>
    <n v="56"/>
    <n v="33"/>
    <n v="23"/>
  </r>
  <r>
    <x v="9"/>
    <n v="4"/>
    <x v="2"/>
    <n v="66"/>
    <n v="38"/>
    <n v="20"/>
    <n v="6"/>
    <n v="12"/>
    <n v="59"/>
    <n v="37"/>
    <n v="22"/>
  </r>
  <r>
    <x v="9"/>
    <n v="5"/>
    <x v="16"/>
    <n v="58"/>
    <n v="38"/>
    <n v="16"/>
    <n v="10"/>
    <n v="12"/>
    <n v="45"/>
    <n v="44"/>
    <n v="1"/>
  </r>
  <r>
    <x v="9"/>
    <n v="6"/>
    <x v="14"/>
    <n v="57"/>
    <n v="38"/>
    <n v="15"/>
    <n v="12"/>
    <n v="11"/>
    <n v="51"/>
    <n v="39"/>
    <n v="12"/>
  </r>
  <r>
    <x v="9"/>
    <n v="7"/>
    <x v="25"/>
    <n v="55"/>
    <n v="38"/>
    <n v="15"/>
    <n v="10"/>
    <n v="13"/>
    <n v="60"/>
    <n v="50"/>
    <n v="10"/>
  </r>
  <r>
    <x v="9"/>
    <n v="8"/>
    <x v="1"/>
    <n v="53"/>
    <n v="38"/>
    <n v="13"/>
    <n v="14"/>
    <n v="11"/>
    <n v="50"/>
    <n v="44"/>
    <n v="6"/>
  </r>
  <r>
    <x v="9"/>
    <n v="9"/>
    <x v="0"/>
    <n v="52"/>
    <n v="38"/>
    <n v="15"/>
    <n v="7"/>
    <n v="16"/>
    <n v="47"/>
    <n v="51"/>
    <n v="-4"/>
  </r>
  <r>
    <x v="9"/>
    <n v="10"/>
    <x v="6"/>
    <n v="52"/>
    <n v="38"/>
    <n v="13"/>
    <n v="13"/>
    <n v="12"/>
    <n v="44"/>
    <n v="40"/>
    <n v="4"/>
  </r>
  <r>
    <x v="9"/>
    <n v="11"/>
    <x v="7"/>
    <n v="50"/>
    <n v="38"/>
    <n v="12"/>
    <n v="14"/>
    <n v="12"/>
    <n v="39"/>
    <n v="46"/>
    <n v="-7"/>
  </r>
  <r>
    <x v="9"/>
    <n v="12"/>
    <x v="29"/>
    <n v="49"/>
    <n v="38"/>
    <n v="14"/>
    <n v="7"/>
    <n v="17"/>
    <n v="44"/>
    <n v="51"/>
    <n v="-7"/>
  </r>
  <r>
    <x v="9"/>
    <n v="13"/>
    <x v="4"/>
    <n v="48"/>
    <n v="38"/>
    <n v="14"/>
    <n v="6"/>
    <n v="18"/>
    <n v="53"/>
    <n v="60"/>
    <n v="-7"/>
  </r>
  <r>
    <x v="9"/>
    <n v="14"/>
    <x v="19"/>
    <n v="48"/>
    <n v="38"/>
    <n v="12"/>
    <n v="12"/>
    <n v="14"/>
    <n v="37"/>
    <n v="44"/>
    <n v="-7"/>
  </r>
  <r>
    <x v="9"/>
    <n v="15"/>
    <x v="23"/>
    <n v="47"/>
    <n v="38"/>
    <n v="11"/>
    <n v="14"/>
    <n v="13"/>
    <n v="37"/>
    <n v="41"/>
    <n v="-4"/>
  </r>
  <r>
    <x v="9"/>
    <n v="16"/>
    <x v="31"/>
    <n v="45"/>
    <n v="38"/>
    <n v="10"/>
    <n v="15"/>
    <n v="13"/>
    <n v="39"/>
    <n v="41"/>
    <n v="-2"/>
  </r>
  <r>
    <x v="9"/>
    <n v="17"/>
    <x v="28"/>
    <n v="41"/>
    <n v="38"/>
    <n v="10"/>
    <n v="11"/>
    <n v="17"/>
    <n v="39"/>
    <n v="56"/>
    <n v="-17"/>
  </r>
  <r>
    <x v="9"/>
    <n v="18"/>
    <x v="24"/>
    <n v="34"/>
    <n v="38"/>
    <n v="9"/>
    <n v="7"/>
    <n v="22"/>
    <n v="39"/>
    <n v="54"/>
    <n v="-15"/>
  </r>
  <r>
    <x v="9"/>
    <n v="19"/>
    <x v="37"/>
    <n v="30"/>
    <n v="38"/>
    <n v="7"/>
    <n v="9"/>
    <n v="22"/>
    <n v="37"/>
    <n v="67"/>
    <n v="-30"/>
  </r>
  <r>
    <x v="9"/>
    <n v="20"/>
    <x v="10"/>
    <n v="30"/>
    <n v="38"/>
    <n v="7"/>
    <n v="9"/>
    <n v="22"/>
    <n v="39"/>
    <n v="72"/>
    <n v="-33"/>
  </r>
  <r>
    <x v="10"/>
    <n v="1"/>
    <x v="0"/>
    <n v="76"/>
    <n v="38"/>
    <n v="23"/>
    <n v="7"/>
    <n v="8"/>
    <n v="77"/>
    <n v="37"/>
    <n v="40"/>
  </r>
  <r>
    <x v="10"/>
    <n v="2"/>
    <x v="20"/>
    <n v="65"/>
    <n v="38"/>
    <n v="18"/>
    <n v="11"/>
    <n v="9"/>
    <n v="42"/>
    <n v="35"/>
    <n v="7"/>
  </r>
  <r>
    <x v="10"/>
    <n v="3"/>
    <x v="11"/>
    <n v="64"/>
    <n v="38"/>
    <n v="18"/>
    <n v="10"/>
    <n v="10"/>
    <n v="65"/>
    <n v="49"/>
    <n v="16"/>
  </r>
  <r>
    <x v="10"/>
    <n v="4"/>
    <x v="25"/>
    <n v="61"/>
    <n v="38"/>
    <n v="17"/>
    <n v="10"/>
    <n v="11"/>
    <n v="55"/>
    <n v="41"/>
    <n v="14"/>
  </r>
  <r>
    <x v="10"/>
    <n v="5"/>
    <x v="15"/>
    <n v="59"/>
    <n v="38"/>
    <n v="16"/>
    <n v="11"/>
    <n v="11"/>
    <n v="59"/>
    <n v="53"/>
    <n v="6"/>
  </r>
  <r>
    <x v="10"/>
    <n v="6"/>
    <x v="8"/>
    <n v="59"/>
    <n v="38"/>
    <n v="16"/>
    <n v="11"/>
    <n v="11"/>
    <n v="48"/>
    <n v="44"/>
    <n v="4"/>
  </r>
  <r>
    <x v="10"/>
    <n v="7"/>
    <x v="1"/>
    <n v="57"/>
    <n v="38"/>
    <n v="15"/>
    <n v="12"/>
    <n v="11"/>
    <n v="51"/>
    <n v="38"/>
    <n v="13"/>
  </r>
  <r>
    <x v="10"/>
    <n v="8"/>
    <x v="5"/>
    <n v="57"/>
    <n v="38"/>
    <n v="15"/>
    <n v="12"/>
    <n v="11"/>
    <n v="49"/>
    <n v="38"/>
    <n v="11"/>
  </r>
  <r>
    <x v="10"/>
    <n v="9"/>
    <x v="2"/>
    <n v="50"/>
    <n v="38"/>
    <n v="14"/>
    <n v="8"/>
    <n v="16"/>
    <n v="39"/>
    <n v="40"/>
    <n v="-1"/>
  </r>
  <r>
    <x v="10"/>
    <n v="10"/>
    <x v="14"/>
    <n v="50"/>
    <n v="38"/>
    <n v="11"/>
    <n v="17"/>
    <n v="10"/>
    <n v="27"/>
    <n v="22"/>
    <n v="5"/>
  </r>
  <r>
    <x v="10"/>
    <n v="11"/>
    <x v="4"/>
    <n v="48"/>
    <n v="38"/>
    <n v="12"/>
    <n v="12"/>
    <n v="14"/>
    <n v="42"/>
    <n v="45"/>
    <n v="-3"/>
  </r>
  <r>
    <x v="10"/>
    <n v="12"/>
    <x v="23"/>
    <n v="48"/>
    <n v="38"/>
    <n v="12"/>
    <n v="12"/>
    <n v="14"/>
    <n v="37"/>
    <n v="45"/>
    <n v="-8"/>
  </r>
  <r>
    <x v="10"/>
    <n v="13"/>
    <x v="6"/>
    <n v="48"/>
    <n v="38"/>
    <n v="11"/>
    <n v="15"/>
    <n v="12"/>
    <n v="51"/>
    <n v="52"/>
    <n v="-1"/>
  </r>
  <r>
    <x v="10"/>
    <n v="14"/>
    <x v="13"/>
    <n v="46"/>
    <n v="38"/>
    <n v="13"/>
    <n v="7"/>
    <n v="18"/>
    <n v="49"/>
    <n v="63"/>
    <n v="-14"/>
  </r>
  <r>
    <x v="10"/>
    <n v="15"/>
    <x v="18"/>
    <n v="46"/>
    <n v="38"/>
    <n v="12"/>
    <n v="10"/>
    <n v="16"/>
    <n v="43"/>
    <n v="47"/>
    <n v="-4"/>
  </r>
  <r>
    <x v="10"/>
    <n v="16"/>
    <x v="7"/>
    <n v="45"/>
    <n v="38"/>
    <n v="12"/>
    <n v="13"/>
    <n v="13"/>
    <n v="43"/>
    <n v="46"/>
    <n v="-3"/>
  </r>
  <r>
    <x v="10"/>
    <n v="17"/>
    <x v="31"/>
    <n v="44"/>
    <n v="38"/>
    <n v="12"/>
    <n v="12"/>
    <n v="14"/>
    <n v="50"/>
    <n v="46"/>
    <n v="4"/>
  </r>
  <r>
    <x v="10"/>
    <n v="18"/>
    <x v="16"/>
    <n v="44"/>
    <n v="38"/>
    <n v="11"/>
    <n v="11"/>
    <n v="16"/>
    <n v="50"/>
    <n v="61"/>
    <n v="-11"/>
  </r>
  <r>
    <x v="10"/>
    <n v="19"/>
    <x v="19"/>
    <n v="37"/>
    <n v="38"/>
    <n v="9"/>
    <n v="10"/>
    <n v="19"/>
    <n v="37"/>
    <n v="55"/>
    <n v="-18"/>
  </r>
  <r>
    <x v="10"/>
    <n v="20"/>
    <x v="29"/>
    <n v="20"/>
    <n v="38"/>
    <n v="5"/>
    <n v="5"/>
    <n v="28"/>
    <n v="22"/>
    <n v="79"/>
    <n v="-57"/>
  </r>
  <r>
    <x v="11"/>
    <n v="1"/>
    <x v="0"/>
    <n v="80"/>
    <n v="38"/>
    <n v="24"/>
    <n v="8"/>
    <n v="6"/>
    <n v="67"/>
    <n v="38"/>
    <n v="29"/>
  </r>
  <r>
    <x v="11"/>
    <n v="2"/>
    <x v="2"/>
    <n v="70"/>
    <n v="38"/>
    <n v="20"/>
    <n v="10"/>
    <n v="8"/>
    <n v="59"/>
    <n v="40"/>
    <n v="19"/>
  </r>
  <r>
    <x v="11"/>
    <n v="3"/>
    <x v="6"/>
    <n v="69"/>
    <n v="38"/>
    <n v="21"/>
    <n v="6"/>
    <n v="11"/>
    <n v="53"/>
    <n v="41"/>
    <n v="12"/>
  </r>
  <r>
    <x v="11"/>
    <n v="4"/>
    <x v="14"/>
    <n v="69"/>
    <n v="38"/>
    <n v="19"/>
    <n v="12"/>
    <n v="7"/>
    <n v="49"/>
    <n v="31"/>
    <n v="18"/>
  </r>
  <r>
    <x v="11"/>
    <n v="5"/>
    <x v="5"/>
    <n v="62"/>
    <n v="38"/>
    <n v="17"/>
    <n v="11"/>
    <n v="10"/>
    <n v="51"/>
    <n v="38"/>
    <n v="13"/>
  </r>
  <r>
    <x v="11"/>
    <n v="6"/>
    <x v="18"/>
    <n v="61"/>
    <n v="38"/>
    <n v="17"/>
    <n v="10"/>
    <n v="11"/>
    <n v="61"/>
    <n v="42"/>
    <n v="19"/>
  </r>
  <r>
    <x v="11"/>
    <n v="7"/>
    <x v="20"/>
    <n v="61"/>
    <n v="38"/>
    <n v="17"/>
    <n v="10"/>
    <n v="11"/>
    <n v="36"/>
    <n v="24"/>
    <n v="12"/>
  </r>
  <r>
    <x v="11"/>
    <n v="8"/>
    <x v="11"/>
    <n v="54"/>
    <n v="38"/>
    <n v="15"/>
    <n v="9"/>
    <n v="14"/>
    <n v="43"/>
    <n v="42"/>
    <n v="1"/>
  </r>
  <r>
    <x v="11"/>
    <n v="9"/>
    <x v="1"/>
    <n v="53"/>
    <n v="38"/>
    <n v="15"/>
    <n v="8"/>
    <n v="15"/>
    <n v="42"/>
    <n v="35"/>
    <n v="7"/>
  </r>
  <r>
    <x v="11"/>
    <n v="10"/>
    <x v="7"/>
    <n v="52"/>
    <n v="38"/>
    <n v="14"/>
    <n v="10"/>
    <n v="14"/>
    <n v="46"/>
    <n v="47"/>
    <n v="-1"/>
  </r>
  <r>
    <x v="11"/>
    <n v="11"/>
    <x v="28"/>
    <n v="52"/>
    <n v="38"/>
    <n v="14"/>
    <n v="10"/>
    <n v="14"/>
    <n v="36"/>
    <n v="46"/>
    <n v="-10"/>
  </r>
  <r>
    <x v="11"/>
    <n v="12"/>
    <x v="8"/>
    <n v="47"/>
    <n v="38"/>
    <n v="13"/>
    <n v="8"/>
    <n v="17"/>
    <n v="38"/>
    <n v="40"/>
    <n v="-2"/>
  </r>
  <r>
    <x v="11"/>
    <n v="13"/>
    <x v="10"/>
    <n v="47"/>
    <n v="38"/>
    <n v="13"/>
    <n v="8"/>
    <n v="17"/>
    <n v="37"/>
    <n v="47"/>
    <n v="-10"/>
  </r>
  <r>
    <x v="11"/>
    <n v="14"/>
    <x v="4"/>
    <n v="47"/>
    <n v="38"/>
    <n v="12"/>
    <n v="11"/>
    <n v="15"/>
    <n v="42"/>
    <n v="45"/>
    <n v="-3"/>
  </r>
  <r>
    <x v="11"/>
    <n v="15"/>
    <x v="39"/>
    <n v="43"/>
    <n v="38"/>
    <n v="11"/>
    <n v="10"/>
    <n v="17"/>
    <n v="39"/>
    <n v="44"/>
    <n v="-5"/>
  </r>
  <r>
    <x v="11"/>
    <n v="16"/>
    <x v="24"/>
    <n v="40"/>
    <n v="38"/>
    <n v="11"/>
    <n v="7"/>
    <n v="20"/>
    <n v="34"/>
    <n v="59"/>
    <n v="-25"/>
  </r>
  <r>
    <x v="11"/>
    <n v="17"/>
    <x v="15"/>
    <n v="38"/>
    <n v="38"/>
    <n v="10"/>
    <n v="8"/>
    <n v="20"/>
    <n v="37"/>
    <n v="54"/>
    <n v="-17"/>
  </r>
  <r>
    <x v="11"/>
    <n v="18"/>
    <x v="23"/>
    <n v="37"/>
    <n v="38"/>
    <n v="9"/>
    <n v="10"/>
    <n v="19"/>
    <n v="31"/>
    <n v="43"/>
    <n v="-12"/>
  </r>
  <r>
    <x v="11"/>
    <n v="19"/>
    <x v="25"/>
    <n v="34"/>
    <n v="38"/>
    <n v="9"/>
    <n v="7"/>
    <n v="22"/>
    <n v="31"/>
    <n v="48"/>
    <n v="-17"/>
  </r>
  <r>
    <x v="11"/>
    <n v="20"/>
    <x v="13"/>
    <n v="32"/>
    <n v="38"/>
    <n v="7"/>
    <n v="11"/>
    <n v="20"/>
    <n v="28"/>
    <n v="56"/>
    <n v="-28"/>
  </r>
  <r>
    <x v="12"/>
    <n v="1"/>
    <x v="14"/>
    <n v="81"/>
    <n v="38"/>
    <n v="24"/>
    <n v="9"/>
    <n v="5"/>
    <n v="71"/>
    <n v="31"/>
    <n v="40"/>
  </r>
  <r>
    <x v="12"/>
    <n v="2"/>
    <x v="5"/>
    <n v="69"/>
    <n v="38"/>
    <n v="21"/>
    <n v="6"/>
    <n v="11"/>
    <n v="65"/>
    <n v="47"/>
    <n v="18"/>
  </r>
  <r>
    <x v="12"/>
    <n v="3"/>
    <x v="20"/>
    <n v="68"/>
    <n v="38"/>
    <n v="20"/>
    <n v="8"/>
    <n v="10"/>
    <n v="52"/>
    <n v="32"/>
    <n v="20"/>
  </r>
  <r>
    <x v="12"/>
    <n v="4"/>
    <x v="2"/>
    <n v="62"/>
    <n v="38"/>
    <n v="18"/>
    <n v="8"/>
    <n v="12"/>
    <n v="53"/>
    <n v="47"/>
    <n v="6"/>
  </r>
  <r>
    <x v="12"/>
    <n v="5"/>
    <x v="6"/>
    <n v="60"/>
    <n v="38"/>
    <n v="17"/>
    <n v="9"/>
    <n v="12"/>
    <n v="39"/>
    <n v="38"/>
    <n v="1"/>
  </r>
  <r>
    <x v="12"/>
    <n v="6"/>
    <x v="28"/>
    <n v="59"/>
    <n v="38"/>
    <n v="15"/>
    <n v="14"/>
    <n v="9"/>
    <n v="53"/>
    <n v="38"/>
    <n v="15"/>
  </r>
  <r>
    <x v="12"/>
    <n v="7"/>
    <x v="1"/>
    <n v="58"/>
    <n v="38"/>
    <n v="16"/>
    <n v="10"/>
    <n v="12"/>
    <n v="59"/>
    <n v="41"/>
    <n v="18"/>
  </r>
  <r>
    <x v="12"/>
    <n v="8"/>
    <x v="0"/>
    <n v="55"/>
    <n v="38"/>
    <n v="15"/>
    <n v="10"/>
    <n v="13"/>
    <n v="44"/>
    <n v="35"/>
    <n v="9"/>
  </r>
  <r>
    <x v="12"/>
    <n v="9"/>
    <x v="24"/>
    <n v="53"/>
    <n v="38"/>
    <n v="15"/>
    <n v="8"/>
    <n v="15"/>
    <n v="60"/>
    <n v="51"/>
    <n v="9"/>
  </r>
  <r>
    <x v="12"/>
    <n v="10"/>
    <x v="11"/>
    <n v="51"/>
    <n v="38"/>
    <n v="14"/>
    <n v="9"/>
    <n v="15"/>
    <n v="43"/>
    <n v="48"/>
    <n v="-5"/>
  </r>
  <r>
    <x v="12"/>
    <n v="11"/>
    <x v="19"/>
    <n v="51"/>
    <n v="38"/>
    <n v="13"/>
    <n v="12"/>
    <n v="13"/>
    <n v="41"/>
    <n v="40"/>
    <n v="1"/>
  </r>
  <r>
    <x v="12"/>
    <n v="12"/>
    <x v="7"/>
    <n v="49"/>
    <n v="38"/>
    <n v="15"/>
    <n v="4"/>
    <n v="19"/>
    <n v="45"/>
    <n v="53"/>
    <n v="-8"/>
  </r>
  <r>
    <x v="12"/>
    <n v="13"/>
    <x v="18"/>
    <n v="47"/>
    <n v="38"/>
    <n v="14"/>
    <n v="5"/>
    <n v="19"/>
    <n v="40"/>
    <n v="49"/>
    <n v="-9"/>
  </r>
  <r>
    <x v="12"/>
    <n v="14"/>
    <x v="39"/>
    <n v="47"/>
    <n v="38"/>
    <n v="12"/>
    <n v="11"/>
    <n v="15"/>
    <n v="34"/>
    <n v="44"/>
    <n v="-10"/>
  </r>
  <r>
    <x v="12"/>
    <n v="15"/>
    <x v="4"/>
    <n v="44"/>
    <n v="38"/>
    <n v="11"/>
    <n v="11"/>
    <n v="16"/>
    <n v="31"/>
    <n v="42"/>
    <n v="-11"/>
  </r>
  <r>
    <x v="12"/>
    <n v="16"/>
    <x v="10"/>
    <n v="43"/>
    <n v="38"/>
    <n v="11"/>
    <n v="10"/>
    <n v="17"/>
    <n v="36"/>
    <n v="50"/>
    <n v="-14"/>
  </r>
  <r>
    <x v="12"/>
    <n v="17"/>
    <x v="33"/>
    <n v="42"/>
    <n v="38"/>
    <n v="11"/>
    <n v="9"/>
    <n v="18"/>
    <n v="38"/>
    <n v="60"/>
    <n v="-22"/>
  </r>
  <r>
    <x v="12"/>
    <n v="18"/>
    <x v="16"/>
    <n v="41"/>
    <n v="38"/>
    <n v="10"/>
    <n v="11"/>
    <n v="17"/>
    <n v="28"/>
    <n v="54"/>
    <n v="-26"/>
  </r>
  <r>
    <x v="12"/>
    <n v="19"/>
    <x v="8"/>
    <n v="38"/>
    <n v="38"/>
    <n v="10"/>
    <n v="8"/>
    <n v="20"/>
    <n v="39"/>
    <n v="49"/>
    <n v="-10"/>
  </r>
  <r>
    <x v="12"/>
    <n v="20"/>
    <x v="40"/>
    <n v="31"/>
    <n v="38"/>
    <n v="7"/>
    <n v="10"/>
    <n v="21"/>
    <n v="26"/>
    <n v="48"/>
    <n v="-22"/>
  </r>
  <r>
    <x v="13"/>
    <n v="1"/>
    <x v="24"/>
    <n v="80"/>
    <n v="38"/>
    <n v="24"/>
    <n v="8"/>
    <n v="6"/>
    <n v="62"/>
    <n v="32"/>
    <n v="30"/>
  </r>
  <r>
    <x v="13"/>
    <n v="2"/>
    <x v="1"/>
    <n v="71"/>
    <n v="38"/>
    <n v="22"/>
    <n v="5"/>
    <n v="11"/>
    <n v="59"/>
    <n v="35"/>
    <n v="24"/>
  </r>
  <r>
    <x v="13"/>
    <n v="3"/>
    <x v="7"/>
    <n v="71"/>
    <n v="38"/>
    <n v="20"/>
    <n v="11"/>
    <n v="7"/>
    <n v="52"/>
    <n v="35"/>
    <n v="17"/>
  </r>
  <r>
    <x v="13"/>
    <n v="4"/>
    <x v="5"/>
    <n v="62"/>
    <n v="38"/>
    <n v="17"/>
    <n v="11"/>
    <n v="10"/>
    <n v="61"/>
    <n v="53"/>
    <n v="8"/>
  </r>
  <r>
    <x v="13"/>
    <n v="5"/>
    <x v="25"/>
    <n v="59"/>
    <n v="38"/>
    <n v="17"/>
    <n v="8"/>
    <n v="13"/>
    <n v="43"/>
    <n v="39"/>
    <n v="4"/>
  </r>
  <r>
    <x v="13"/>
    <n v="6"/>
    <x v="11"/>
    <n v="57"/>
    <n v="38"/>
    <n v="17"/>
    <n v="6"/>
    <n v="15"/>
    <n v="38"/>
    <n v="32"/>
    <n v="6"/>
  </r>
  <r>
    <x v="13"/>
    <n v="7"/>
    <x v="14"/>
    <n v="55"/>
    <n v="38"/>
    <n v="15"/>
    <n v="10"/>
    <n v="13"/>
    <n v="48"/>
    <n v="42"/>
    <n v="6"/>
  </r>
  <r>
    <x v="13"/>
    <n v="8"/>
    <x v="19"/>
    <n v="53"/>
    <n v="38"/>
    <n v="15"/>
    <n v="8"/>
    <n v="15"/>
    <n v="48"/>
    <n v="52"/>
    <n v="-4"/>
  </r>
  <r>
    <x v="13"/>
    <n v="9"/>
    <x v="20"/>
    <n v="53"/>
    <n v="38"/>
    <n v="14"/>
    <n v="11"/>
    <n v="13"/>
    <n v="41"/>
    <n v="44"/>
    <n v="-3"/>
  </r>
  <r>
    <x v="13"/>
    <n v="10"/>
    <x v="2"/>
    <n v="52"/>
    <n v="38"/>
    <n v="14"/>
    <n v="10"/>
    <n v="14"/>
    <n v="44"/>
    <n v="36"/>
    <n v="8"/>
  </r>
  <r>
    <x v="13"/>
    <n v="11"/>
    <x v="39"/>
    <n v="52"/>
    <n v="38"/>
    <n v="13"/>
    <n v="13"/>
    <n v="12"/>
    <n v="49"/>
    <n v="56"/>
    <n v="-7"/>
  </r>
  <r>
    <x v="13"/>
    <n v="12"/>
    <x v="0"/>
    <n v="51"/>
    <n v="38"/>
    <n v="14"/>
    <n v="9"/>
    <n v="15"/>
    <n v="48"/>
    <n v="49"/>
    <n v="-1"/>
  </r>
  <r>
    <x v="13"/>
    <n v="13"/>
    <x v="18"/>
    <n v="50"/>
    <n v="38"/>
    <n v="13"/>
    <n v="11"/>
    <n v="14"/>
    <n v="45"/>
    <n v="45"/>
    <n v="0"/>
  </r>
  <r>
    <x v="13"/>
    <n v="14"/>
    <x v="28"/>
    <n v="47"/>
    <n v="38"/>
    <n v="13"/>
    <n v="8"/>
    <n v="17"/>
    <n v="49"/>
    <n v="55"/>
    <n v="-6"/>
  </r>
  <r>
    <x v="13"/>
    <n v="15"/>
    <x v="4"/>
    <n v="46"/>
    <n v="38"/>
    <n v="11"/>
    <n v="13"/>
    <n v="14"/>
    <n v="41"/>
    <n v="42"/>
    <n v="-1"/>
  </r>
  <r>
    <x v="13"/>
    <n v="16"/>
    <x v="15"/>
    <n v="45"/>
    <n v="38"/>
    <n v="12"/>
    <n v="9"/>
    <n v="17"/>
    <n v="51"/>
    <n v="53"/>
    <n v="-2"/>
  </r>
  <r>
    <x v="13"/>
    <n v="17"/>
    <x v="6"/>
    <n v="43"/>
    <n v="38"/>
    <n v="11"/>
    <n v="10"/>
    <n v="17"/>
    <n v="35"/>
    <n v="41"/>
    <n v="-6"/>
  </r>
  <r>
    <x v="13"/>
    <n v="18"/>
    <x v="10"/>
    <n v="37"/>
    <n v="38"/>
    <n v="8"/>
    <n v="13"/>
    <n v="17"/>
    <n v="30"/>
    <n v="50"/>
    <n v="-20"/>
  </r>
  <r>
    <x v="13"/>
    <n v="19"/>
    <x v="27"/>
    <n v="31"/>
    <n v="38"/>
    <n v="8"/>
    <n v="7"/>
    <n v="23"/>
    <n v="45"/>
    <n v="69"/>
    <n v="-24"/>
  </r>
  <r>
    <x v="13"/>
    <n v="20"/>
    <x v="38"/>
    <n v="28"/>
    <n v="38"/>
    <n v="7"/>
    <n v="7"/>
    <n v="24"/>
    <n v="23"/>
    <n v="58"/>
    <n v="-35"/>
  </r>
  <r>
    <x v="14"/>
    <n v="1"/>
    <x v="14"/>
    <n v="72"/>
    <n v="38"/>
    <n v="21"/>
    <n v="9"/>
    <n v="8"/>
    <n v="50"/>
    <n v="30"/>
    <n v="20"/>
  </r>
  <r>
    <x v="14"/>
    <n v="2"/>
    <x v="24"/>
    <n v="63"/>
    <n v="38"/>
    <n v="19"/>
    <n v="6"/>
    <n v="13"/>
    <n v="61"/>
    <n v="45"/>
    <n v="16"/>
  </r>
  <r>
    <x v="14"/>
    <n v="3"/>
    <x v="1"/>
    <n v="63"/>
    <n v="38"/>
    <n v="17"/>
    <n v="12"/>
    <n v="9"/>
    <n v="42"/>
    <n v="32"/>
    <n v="10"/>
  </r>
  <r>
    <x v="14"/>
    <n v="4"/>
    <x v="20"/>
    <n v="62"/>
    <n v="38"/>
    <n v="18"/>
    <n v="8"/>
    <n v="12"/>
    <n v="55"/>
    <n v="36"/>
    <n v="19"/>
  </r>
  <r>
    <x v="14"/>
    <n v="5"/>
    <x v="0"/>
    <n v="57"/>
    <n v="38"/>
    <n v="15"/>
    <n v="12"/>
    <n v="11"/>
    <n v="47"/>
    <n v="39"/>
    <n v="8"/>
  </r>
  <r>
    <x v="14"/>
    <n v="6"/>
    <x v="7"/>
    <n v="56"/>
    <n v="38"/>
    <n v="15"/>
    <n v="11"/>
    <n v="12"/>
    <n v="49"/>
    <n v="38"/>
    <n v="11"/>
  </r>
  <r>
    <x v="14"/>
    <n v="7"/>
    <x v="16"/>
    <n v="56"/>
    <n v="38"/>
    <n v="15"/>
    <n v="11"/>
    <n v="12"/>
    <n v="40"/>
    <n v="47"/>
    <n v="-7"/>
  </r>
  <r>
    <x v="14"/>
    <n v="8"/>
    <x v="39"/>
    <n v="54"/>
    <n v="38"/>
    <n v="15"/>
    <n v="9"/>
    <n v="14"/>
    <n v="47"/>
    <n v="49"/>
    <n v="-2"/>
  </r>
  <r>
    <x v="14"/>
    <n v="9"/>
    <x v="5"/>
    <n v="54"/>
    <n v="38"/>
    <n v="14"/>
    <n v="12"/>
    <n v="12"/>
    <n v="52"/>
    <n v="49"/>
    <n v="3"/>
  </r>
  <r>
    <x v="14"/>
    <n v="10"/>
    <x v="25"/>
    <n v="53"/>
    <n v="38"/>
    <n v="14"/>
    <n v="11"/>
    <n v="13"/>
    <n v="45"/>
    <n v="42"/>
    <n v="3"/>
  </r>
  <r>
    <x v="14"/>
    <n v="11"/>
    <x v="11"/>
    <n v="51"/>
    <n v="38"/>
    <n v="14"/>
    <n v="9"/>
    <n v="15"/>
    <n v="45"/>
    <n v="43"/>
    <n v="2"/>
  </r>
  <r>
    <x v="14"/>
    <n v="12"/>
    <x v="23"/>
    <n v="50"/>
    <n v="38"/>
    <n v="13"/>
    <n v="11"/>
    <n v="14"/>
    <n v="50"/>
    <n v="48"/>
    <n v="2"/>
  </r>
  <r>
    <x v="14"/>
    <n v="13"/>
    <x v="2"/>
    <n v="50"/>
    <n v="38"/>
    <n v="13"/>
    <n v="11"/>
    <n v="14"/>
    <n v="48"/>
    <n v="49"/>
    <n v="-1"/>
  </r>
  <r>
    <x v="14"/>
    <n v="14"/>
    <x v="18"/>
    <n v="47"/>
    <n v="38"/>
    <n v="11"/>
    <n v="14"/>
    <n v="13"/>
    <n v="50"/>
    <n v="53"/>
    <n v="-3"/>
  </r>
  <r>
    <x v="14"/>
    <n v="15"/>
    <x v="28"/>
    <n v="45"/>
    <n v="38"/>
    <n v="12"/>
    <n v="9"/>
    <n v="17"/>
    <n v="46"/>
    <n v="58"/>
    <n v="-12"/>
  </r>
  <r>
    <x v="14"/>
    <n v="16"/>
    <x v="15"/>
    <n v="43"/>
    <n v="38"/>
    <n v="11"/>
    <n v="10"/>
    <n v="17"/>
    <n v="50"/>
    <n v="58"/>
    <n v="-8"/>
  </r>
  <r>
    <x v="14"/>
    <n v="17"/>
    <x v="4"/>
    <n v="43"/>
    <n v="38"/>
    <n v="11"/>
    <n v="10"/>
    <n v="17"/>
    <n v="42"/>
    <n v="51"/>
    <n v="-9"/>
  </r>
  <r>
    <x v="14"/>
    <n v="18"/>
    <x v="33"/>
    <n v="43"/>
    <n v="38"/>
    <n v="10"/>
    <n v="13"/>
    <n v="15"/>
    <n v="29"/>
    <n v="48"/>
    <n v="-19"/>
  </r>
  <r>
    <x v="14"/>
    <n v="19"/>
    <x v="19"/>
    <n v="39"/>
    <n v="38"/>
    <n v="10"/>
    <n v="9"/>
    <n v="19"/>
    <n v="37"/>
    <n v="52"/>
    <n v="-15"/>
  </r>
  <r>
    <x v="14"/>
    <n v="20"/>
    <x v="37"/>
    <n v="36"/>
    <n v="38"/>
    <n v="9"/>
    <n v="9"/>
    <n v="20"/>
    <n v="38"/>
    <n v="56"/>
    <n v="-18"/>
  </r>
  <r>
    <x v="15"/>
    <n v="1"/>
    <x v="24"/>
    <n v="80"/>
    <n v="38"/>
    <n v="23"/>
    <n v="11"/>
    <n v="4"/>
    <n v="64"/>
    <n v="26"/>
    <n v="38"/>
  </r>
  <r>
    <x v="15"/>
    <n v="2"/>
    <x v="7"/>
    <n v="72"/>
    <n v="38"/>
    <n v="21"/>
    <n v="9"/>
    <n v="8"/>
    <n v="59"/>
    <n v="29"/>
    <n v="30"/>
  </r>
  <r>
    <x v="15"/>
    <n v="3"/>
    <x v="6"/>
    <n v="69"/>
    <n v="38"/>
    <n v="19"/>
    <n v="12"/>
    <n v="7"/>
    <n v="51"/>
    <n v="29"/>
    <n v="22"/>
  </r>
  <r>
    <x v="15"/>
    <n v="4"/>
    <x v="20"/>
    <n v="66"/>
    <n v="38"/>
    <n v="18"/>
    <n v="12"/>
    <n v="8"/>
    <n v="48"/>
    <n v="27"/>
    <n v="21"/>
  </r>
  <r>
    <x v="15"/>
    <n v="5"/>
    <x v="2"/>
    <n v="63"/>
    <n v="38"/>
    <n v="16"/>
    <n v="15"/>
    <n v="7"/>
    <n v="46"/>
    <n v="34"/>
    <n v="12"/>
  </r>
  <r>
    <x v="15"/>
    <n v="6"/>
    <x v="5"/>
    <n v="59"/>
    <n v="38"/>
    <n v="17"/>
    <n v="8"/>
    <n v="13"/>
    <n v="56"/>
    <n v="43"/>
    <n v="13"/>
  </r>
  <r>
    <x v="15"/>
    <n v="7"/>
    <x v="11"/>
    <n v="57"/>
    <n v="38"/>
    <n v="16"/>
    <n v="9"/>
    <n v="13"/>
    <n v="54"/>
    <n v="37"/>
    <n v="17"/>
  </r>
  <r>
    <x v="15"/>
    <n v="8"/>
    <x v="0"/>
    <n v="53"/>
    <n v="38"/>
    <n v="14"/>
    <n v="11"/>
    <n v="13"/>
    <n v="34"/>
    <n v="34"/>
    <n v="0"/>
  </r>
  <r>
    <x v="15"/>
    <n v="9"/>
    <x v="25"/>
    <n v="51"/>
    <n v="38"/>
    <n v="13"/>
    <n v="12"/>
    <n v="13"/>
    <n v="38"/>
    <n v="46"/>
    <n v="-8"/>
  </r>
  <r>
    <x v="15"/>
    <n v="10"/>
    <x v="1"/>
    <n v="50"/>
    <n v="38"/>
    <n v="13"/>
    <n v="11"/>
    <n v="14"/>
    <n v="46"/>
    <n v="40"/>
    <n v="6"/>
  </r>
  <r>
    <x v="15"/>
    <n v="11"/>
    <x v="23"/>
    <n v="48"/>
    <n v="38"/>
    <n v="12"/>
    <n v="12"/>
    <n v="14"/>
    <n v="39"/>
    <n v="41"/>
    <n v="-2"/>
  </r>
  <r>
    <x v="15"/>
    <n v="12"/>
    <x v="18"/>
    <n v="45"/>
    <n v="38"/>
    <n v="12"/>
    <n v="9"/>
    <n v="17"/>
    <n v="32"/>
    <n v="46"/>
    <n v="-14"/>
  </r>
  <r>
    <x v="15"/>
    <n v="13"/>
    <x v="14"/>
    <n v="44"/>
    <n v="38"/>
    <n v="11"/>
    <n v="11"/>
    <n v="16"/>
    <n v="34"/>
    <n v="35"/>
    <n v="-1"/>
  </r>
  <r>
    <x v="15"/>
    <n v="14"/>
    <x v="39"/>
    <n v="44"/>
    <n v="38"/>
    <n v="11"/>
    <n v="11"/>
    <n v="16"/>
    <n v="34"/>
    <n v="50"/>
    <n v="-16"/>
  </r>
  <r>
    <x v="15"/>
    <n v="15"/>
    <x v="36"/>
    <n v="44"/>
    <n v="38"/>
    <n v="10"/>
    <n v="14"/>
    <n v="14"/>
    <n v="32"/>
    <n v="38"/>
    <n v="-6"/>
  </r>
  <r>
    <x v="15"/>
    <n v="16"/>
    <x v="16"/>
    <n v="43"/>
    <n v="38"/>
    <n v="10"/>
    <n v="13"/>
    <n v="15"/>
    <n v="41"/>
    <n v="48"/>
    <n v="-7"/>
  </r>
  <r>
    <x v="15"/>
    <n v="17"/>
    <x v="28"/>
    <n v="42"/>
    <n v="38"/>
    <n v="11"/>
    <n v="9"/>
    <n v="18"/>
    <n v="35"/>
    <n v="57"/>
    <n v="-22"/>
  </r>
  <r>
    <x v="15"/>
    <n v="18"/>
    <x v="38"/>
    <n v="40"/>
    <n v="38"/>
    <n v="10"/>
    <n v="10"/>
    <n v="18"/>
    <n v="30"/>
    <n v="47"/>
    <n v="-17"/>
  </r>
  <r>
    <x v="15"/>
    <n v="19"/>
    <x v="15"/>
    <n v="37"/>
    <n v="38"/>
    <n v="9"/>
    <n v="10"/>
    <n v="19"/>
    <n v="36"/>
    <n v="63"/>
    <n v="-27"/>
  </r>
  <r>
    <x v="15"/>
    <n v="20"/>
    <x v="9"/>
    <n v="23"/>
    <n v="38"/>
    <n v="4"/>
    <n v="11"/>
    <n v="23"/>
    <n v="18"/>
    <n v="57"/>
    <n v="-39"/>
  </r>
  <r>
    <x v="16"/>
    <n v="1"/>
    <x v="7"/>
    <n v="90"/>
    <n v="38"/>
    <n v="28"/>
    <n v="6"/>
    <n v="4"/>
    <n v="86"/>
    <n v="37"/>
    <n v="49"/>
  </r>
  <r>
    <x v="16"/>
    <n v="2"/>
    <x v="1"/>
    <n v="74"/>
    <n v="38"/>
    <n v="22"/>
    <n v="8"/>
    <n v="8"/>
    <n v="60"/>
    <n v="33"/>
    <n v="27"/>
  </r>
  <r>
    <x v="16"/>
    <n v="3"/>
    <x v="24"/>
    <n v="74"/>
    <n v="38"/>
    <n v="21"/>
    <n v="11"/>
    <n v="6"/>
    <n v="61"/>
    <n v="32"/>
    <n v="29"/>
  </r>
  <r>
    <x v="16"/>
    <n v="4"/>
    <x v="20"/>
    <n v="65"/>
    <n v="38"/>
    <n v="19"/>
    <n v="8"/>
    <n v="11"/>
    <n v="64"/>
    <n v="39"/>
    <n v="25"/>
  </r>
  <r>
    <x v="16"/>
    <n v="5"/>
    <x v="11"/>
    <n v="64"/>
    <n v="38"/>
    <n v="18"/>
    <n v="10"/>
    <n v="10"/>
    <n v="51"/>
    <n v="32"/>
    <n v="19"/>
  </r>
  <r>
    <x v="16"/>
    <n v="6"/>
    <x v="2"/>
    <n v="63"/>
    <n v="38"/>
    <n v="17"/>
    <n v="12"/>
    <n v="9"/>
    <n v="39"/>
    <n v="30"/>
    <n v="9"/>
  </r>
  <r>
    <x v="16"/>
    <n v="7"/>
    <x v="6"/>
    <n v="57"/>
    <n v="38"/>
    <n v="16"/>
    <n v="9"/>
    <n v="13"/>
    <n v="44"/>
    <n v="39"/>
    <n v="5"/>
  </r>
  <r>
    <x v="16"/>
    <n v="8"/>
    <x v="14"/>
    <n v="56"/>
    <n v="38"/>
    <n v="14"/>
    <n v="14"/>
    <n v="10"/>
    <n v="42"/>
    <n v="34"/>
    <n v="8"/>
  </r>
  <r>
    <x v="16"/>
    <n v="9"/>
    <x v="22"/>
    <n v="53"/>
    <n v="38"/>
    <n v="15"/>
    <n v="8"/>
    <n v="15"/>
    <n v="50"/>
    <n v="49"/>
    <n v="1"/>
  </r>
  <r>
    <x v="16"/>
    <n v="10"/>
    <x v="8"/>
    <n v="52"/>
    <n v="38"/>
    <n v="15"/>
    <n v="7"/>
    <n v="16"/>
    <n v="46"/>
    <n v="64"/>
    <n v="-18"/>
  </r>
  <r>
    <x v="16"/>
    <n v="11"/>
    <x v="23"/>
    <n v="49"/>
    <n v="38"/>
    <n v="12"/>
    <n v="13"/>
    <n v="13"/>
    <n v="44"/>
    <n v="43"/>
    <n v="1"/>
  </r>
  <r>
    <x v="16"/>
    <n v="12"/>
    <x v="16"/>
    <n v="49"/>
    <n v="38"/>
    <n v="12"/>
    <n v="13"/>
    <n v="13"/>
    <n v="39"/>
    <n v="45"/>
    <n v="-6"/>
  </r>
  <r>
    <x v="16"/>
    <n v="13"/>
    <x v="5"/>
    <n v="48"/>
    <n v="38"/>
    <n v="13"/>
    <n v="9"/>
    <n v="16"/>
    <n v="45"/>
    <n v="49"/>
    <n v="-4"/>
  </r>
  <r>
    <x v="16"/>
    <n v="14"/>
    <x v="18"/>
    <n v="46"/>
    <n v="38"/>
    <n v="12"/>
    <n v="10"/>
    <n v="16"/>
    <n v="38"/>
    <n v="46"/>
    <n v="-8"/>
  </r>
  <r>
    <x v="16"/>
    <n v="15"/>
    <x v="25"/>
    <n v="43"/>
    <n v="38"/>
    <n v="13"/>
    <n v="4"/>
    <n v="21"/>
    <n v="31"/>
    <n v="45"/>
    <n v="-14"/>
  </r>
  <r>
    <x v="16"/>
    <n v="16"/>
    <x v="36"/>
    <n v="39"/>
    <n v="38"/>
    <n v="10"/>
    <n v="9"/>
    <n v="19"/>
    <n v="36"/>
    <n v="41"/>
    <n v="-5"/>
  </r>
  <r>
    <x v="16"/>
    <n v="17"/>
    <x v="0"/>
    <n v="36"/>
    <n v="38"/>
    <n v="7"/>
    <n v="15"/>
    <n v="16"/>
    <n v="27"/>
    <n v="46"/>
    <n v="-19"/>
  </r>
  <r>
    <x v="16"/>
    <n v="18"/>
    <x v="41"/>
    <n v="32"/>
    <n v="38"/>
    <n v="8"/>
    <n v="8"/>
    <n v="22"/>
    <n v="24"/>
    <n v="58"/>
    <n v="-34"/>
  </r>
  <r>
    <x v="16"/>
    <n v="19"/>
    <x v="39"/>
    <n v="32"/>
    <n v="38"/>
    <n v="7"/>
    <n v="11"/>
    <n v="20"/>
    <n v="31"/>
    <n v="52"/>
    <n v="-21"/>
  </r>
  <r>
    <x v="16"/>
    <n v="20"/>
    <x v="33"/>
    <n v="20"/>
    <n v="38"/>
    <n v="3"/>
    <n v="11"/>
    <n v="24"/>
    <n v="18"/>
    <n v="62"/>
    <n v="-44"/>
  </r>
  <r>
    <x v="17"/>
    <n v="1"/>
    <x v="7"/>
    <n v="71"/>
    <n v="38"/>
    <n v="21"/>
    <n v="8"/>
    <n v="9"/>
    <n v="68"/>
    <n v="48"/>
    <n v="20"/>
  </r>
  <r>
    <x v="17"/>
    <n v="2"/>
    <x v="6"/>
    <n v="70"/>
    <n v="38"/>
    <n v="20"/>
    <n v="10"/>
    <n v="8"/>
    <n v="61"/>
    <n v="35"/>
    <n v="26"/>
  </r>
  <r>
    <x v="17"/>
    <n v="3"/>
    <x v="5"/>
    <n v="68"/>
    <n v="38"/>
    <n v="20"/>
    <n v="8"/>
    <n v="10"/>
    <n v="64"/>
    <n v="45"/>
    <n v="19"/>
  </r>
  <r>
    <x v="17"/>
    <n v="4"/>
    <x v="2"/>
    <n v="66"/>
    <n v="38"/>
    <n v="18"/>
    <n v="12"/>
    <n v="8"/>
    <n v="59"/>
    <n v="41"/>
    <n v="18"/>
  </r>
  <r>
    <x v="17"/>
    <n v="5"/>
    <x v="18"/>
    <n v="64"/>
    <n v="38"/>
    <n v="18"/>
    <n v="10"/>
    <n v="10"/>
    <n v="55"/>
    <n v="42"/>
    <n v="13"/>
  </r>
  <r>
    <x v="17"/>
    <n v="6"/>
    <x v="20"/>
    <n v="59"/>
    <n v="38"/>
    <n v="14"/>
    <n v="17"/>
    <n v="7"/>
    <n v="53"/>
    <n v="40"/>
    <n v="13"/>
  </r>
  <r>
    <x v="17"/>
    <n v="7"/>
    <x v="24"/>
    <n v="58"/>
    <n v="38"/>
    <n v="15"/>
    <n v="13"/>
    <n v="10"/>
    <n v="51"/>
    <n v="37"/>
    <n v="14"/>
  </r>
  <r>
    <x v="17"/>
    <n v="8"/>
    <x v="1"/>
    <n v="54"/>
    <n v="38"/>
    <n v="14"/>
    <n v="12"/>
    <n v="12"/>
    <n v="52"/>
    <n v="51"/>
    <n v="1"/>
  </r>
  <r>
    <x v="17"/>
    <n v="9"/>
    <x v="11"/>
    <n v="53"/>
    <n v="38"/>
    <n v="15"/>
    <n v="8"/>
    <n v="15"/>
    <n v="38"/>
    <n v="36"/>
    <n v="2"/>
  </r>
  <r>
    <x v="17"/>
    <n v="10"/>
    <x v="42"/>
    <n v="53"/>
    <n v="38"/>
    <n v="13"/>
    <n v="14"/>
    <n v="11"/>
    <n v="50"/>
    <n v="40"/>
    <n v="10"/>
  </r>
  <r>
    <x v="17"/>
    <n v="11"/>
    <x v="36"/>
    <n v="52"/>
    <n v="38"/>
    <n v="14"/>
    <n v="10"/>
    <n v="14"/>
    <n v="54"/>
    <n v="51"/>
    <n v="3"/>
  </r>
  <r>
    <x v="17"/>
    <n v="12"/>
    <x v="14"/>
    <n v="51"/>
    <n v="38"/>
    <n v="13"/>
    <n v="12"/>
    <n v="13"/>
    <n v="45"/>
    <n v="45"/>
    <n v="0"/>
  </r>
  <r>
    <x v="17"/>
    <n v="13"/>
    <x v="37"/>
    <n v="50"/>
    <n v="38"/>
    <n v="12"/>
    <n v="14"/>
    <n v="12"/>
    <n v="40"/>
    <n v="45"/>
    <n v="-5"/>
  </r>
  <r>
    <x v="17"/>
    <n v="14"/>
    <x v="23"/>
    <n v="44"/>
    <n v="38"/>
    <n v="12"/>
    <n v="8"/>
    <n v="18"/>
    <n v="48"/>
    <n v="59"/>
    <n v="-11"/>
  </r>
  <r>
    <x v="17"/>
    <n v="15"/>
    <x v="28"/>
    <n v="42"/>
    <n v="38"/>
    <n v="12"/>
    <n v="6"/>
    <n v="20"/>
    <n v="31"/>
    <n v="50"/>
    <n v="-19"/>
  </r>
  <r>
    <x v="17"/>
    <n v="16"/>
    <x v="22"/>
    <n v="41"/>
    <n v="38"/>
    <n v="10"/>
    <n v="11"/>
    <n v="17"/>
    <n v="34"/>
    <n v="44"/>
    <n v="-10"/>
  </r>
  <r>
    <x v="17"/>
    <n v="17"/>
    <x v="16"/>
    <n v="41"/>
    <n v="38"/>
    <n v="10"/>
    <n v="11"/>
    <n v="17"/>
    <n v="37"/>
    <n v="56"/>
    <n v="-19"/>
  </r>
  <r>
    <x v="17"/>
    <n v="18"/>
    <x v="8"/>
    <n v="37"/>
    <n v="38"/>
    <n v="9"/>
    <n v="10"/>
    <n v="19"/>
    <n v="41"/>
    <n v="63"/>
    <n v="-22"/>
  </r>
  <r>
    <x v="17"/>
    <n v="19"/>
    <x v="4"/>
    <n v="31"/>
    <n v="38"/>
    <n v="7"/>
    <n v="10"/>
    <n v="21"/>
    <n v="31"/>
    <n v="54"/>
    <n v="-23"/>
  </r>
  <r>
    <x v="17"/>
    <n v="20"/>
    <x v="25"/>
    <n v="27"/>
    <n v="38"/>
    <n v="5"/>
    <n v="12"/>
    <n v="21"/>
    <n v="32"/>
    <n v="62"/>
    <n v="-30"/>
  </r>
  <r>
    <x v="18"/>
    <n v="1"/>
    <x v="5"/>
    <n v="84"/>
    <n v="38"/>
    <n v="26"/>
    <n v="6"/>
    <n v="6"/>
    <n v="67"/>
    <n v="34"/>
    <n v="33"/>
  </r>
  <r>
    <x v="18"/>
    <n v="2"/>
    <x v="7"/>
    <n v="71"/>
    <n v="38"/>
    <n v="21"/>
    <n v="8"/>
    <n v="9"/>
    <n v="69"/>
    <n v="36"/>
    <n v="33"/>
  </r>
  <r>
    <x v="18"/>
    <n v="3"/>
    <x v="24"/>
    <n v="66"/>
    <n v="38"/>
    <n v="20"/>
    <n v="6"/>
    <n v="12"/>
    <n v="58"/>
    <n v="43"/>
    <n v="15"/>
  </r>
  <r>
    <x v="18"/>
    <n v="4"/>
    <x v="22"/>
    <n v="58"/>
    <n v="38"/>
    <n v="17"/>
    <n v="7"/>
    <n v="14"/>
    <n v="44"/>
    <n v="45"/>
    <n v="-1"/>
  </r>
  <r>
    <x v="18"/>
    <n v="5"/>
    <x v="14"/>
    <n v="57"/>
    <n v="38"/>
    <n v="15"/>
    <n v="12"/>
    <n v="11"/>
    <n v="40"/>
    <n v="36"/>
    <n v="4"/>
  </r>
  <r>
    <x v="18"/>
    <n v="6"/>
    <x v="42"/>
    <n v="56"/>
    <n v="38"/>
    <n v="14"/>
    <n v="14"/>
    <n v="10"/>
    <n v="55"/>
    <n v="46"/>
    <n v="9"/>
  </r>
  <r>
    <x v="18"/>
    <n v="7"/>
    <x v="18"/>
    <n v="54"/>
    <n v="38"/>
    <n v="15"/>
    <n v="9"/>
    <n v="14"/>
    <n v="38"/>
    <n v="38"/>
    <n v="0"/>
  </r>
  <r>
    <x v="18"/>
    <n v="8"/>
    <x v="38"/>
    <n v="53"/>
    <n v="38"/>
    <n v="13"/>
    <n v="14"/>
    <n v="11"/>
    <n v="41"/>
    <n v="37"/>
    <n v="4"/>
  </r>
  <r>
    <x v="18"/>
    <n v="9"/>
    <x v="37"/>
    <n v="53"/>
    <n v="38"/>
    <n v="13"/>
    <n v="14"/>
    <n v="11"/>
    <n v="33"/>
    <n v="36"/>
    <n v="-3"/>
  </r>
  <r>
    <x v="18"/>
    <n v="10"/>
    <x v="1"/>
    <n v="50"/>
    <n v="38"/>
    <n v="12"/>
    <n v="14"/>
    <n v="12"/>
    <n v="35"/>
    <n v="40"/>
    <n v="-5"/>
  </r>
  <r>
    <x v="18"/>
    <n v="11"/>
    <x v="36"/>
    <n v="50"/>
    <n v="38"/>
    <n v="11"/>
    <n v="17"/>
    <n v="10"/>
    <n v="39"/>
    <n v="38"/>
    <n v="1"/>
  </r>
  <r>
    <x v="18"/>
    <n v="12"/>
    <x v="6"/>
    <n v="48"/>
    <n v="38"/>
    <n v="12"/>
    <n v="12"/>
    <n v="14"/>
    <n v="44"/>
    <n v="42"/>
    <n v="2"/>
  </r>
  <r>
    <x v="18"/>
    <n v="13"/>
    <x v="2"/>
    <n v="48"/>
    <n v="38"/>
    <n v="11"/>
    <n v="15"/>
    <n v="12"/>
    <n v="31"/>
    <n v="39"/>
    <n v="-8"/>
  </r>
  <r>
    <x v="18"/>
    <n v="14"/>
    <x v="11"/>
    <n v="47"/>
    <n v="38"/>
    <n v="13"/>
    <n v="8"/>
    <n v="17"/>
    <n v="41"/>
    <n v="45"/>
    <n v="-4"/>
  </r>
  <r>
    <x v="18"/>
    <n v="15"/>
    <x v="43"/>
    <n v="47"/>
    <n v="38"/>
    <n v="10"/>
    <n v="17"/>
    <n v="11"/>
    <n v="34"/>
    <n v="37"/>
    <n v="-3"/>
  </r>
  <r>
    <x v="18"/>
    <n v="16"/>
    <x v="17"/>
    <n v="46"/>
    <n v="38"/>
    <n v="11"/>
    <n v="13"/>
    <n v="14"/>
    <n v="36"/>
    <n v="44"/>
    <n v="-8"/>
  </r>
  <r>
    <x v="18"/>
    <n v="17"/>
    <x v="20"/>
    <n v="43"/>
    <n v="38"/>
    <n v="12"/>
    <n v="7"/>
    <n v="19"/>
    <n v="44"/>
    <n v="51"/>
    <n v="-7"/>
  </r>
  <r>
    <x v="18"/>
    <n v="18"/>
    <x v="23"/>
    <n v="43"/>
    <n v="38"/>
    <n v="11"/>
    <n v="10"/>
    <n v="17"/>
    <n v="42"/>
    <n v="51"/>
    <n v="-9"/>
  </r>
  <r>
    <x v="18"/>
    <n v="19"/>
    <x v="28"/>
    <n v="38"/>
    <n v="38"/>
    <n v="9"/>
    <n v="11"/>
    <n v="18"/>
    <n v="24"/>
    <n v="37"/>
    <n v="-13"/>
  </r>
  <r>
    <x v="18"/>
    <n v="20"/>
    <x v="39"/>
    <n v="15"/>
    <n v="38"/>
    <n v="1"/>
    <n v="12"/>
    <n v="25"/>
    <n v="27"/>
    <n v="67"/>
    <n v="-40"/>
  </r>
  <r>
    <x v="19"/>
    <n v="1"/>
    <x v="24"/>
    <n v="81"/>
    <n v="38"/>
    <n v="23"/>
    <n v="12"/>
    <n v="3"/>
    <n v="66"/>
    <n v="27"/>
    <n v="39"/>
  </r>
  <r>
    <x v="19"/>
    <n v="2"/>
    <x v="6"/>
    <n v="73"/>
    <n v="38"/>
    <n v="20"/>
    <n v="13"/>
    <n v="5"/>
    <n v="58"/>
    <n v="31"/>
    <n v="27"/>
  </r>
  <r>
    <x v="19"/>
    <n v="3"/>
    <x v="18"/>
    <n v="70"/>
    <n v="38"/>
    <n v="21"/>
    <n v="7"/>
    <n v="10"/>
    <n v="63"/>
    <n v="41"/>
    <n v="22"/>
  </r>
  <r>
    <x v="19"/>
    <n v="4"/>
    <x v="14"/>
    <n v="65"/>
    <n v="38"/>
    <n v="18"/>
    <n v="11"/>
    <n v="9"/>
    <n v="44"/>
    <n v="36"/>
    <n v="8"/>
  </r>
  <r>
    <x v="19"/>
    <n v="5"/>
    <x v="7"/>
    <n v="62"/>
    <n v="38"/>
    <n v="18"/>
    <n v="8"/>
    <n v="12"/>
    <n v="60"/>
    <n v="39"/>
    <n v="21"/>
  </r>
  <r>
    <x v="19"/>
    <n v="6"/>
    <x v="11"/>
    <n v="58"/>
    <n v="38"/>
    <n v="16"/>
    <n v="10"/>
    <n v="12"/>
    <n v="48"/>
    <n v="48"/>
    <n v="0"/>
  </r>
  <r>
    <x v="19"/>
    <n v="7"/>
    <x v="5"/>
    <n v="58"/>
    <n v="38"/>
    <n v="15"/>
    <n v="13"/>
    <n v="10"/>
    <n v="45"/>
    <n v="37"/>
    <n v="8"/>
  </r>
  <r>
    <x v="19"/>
    <n v="8"/>
    <x v="22"/>
    <n v="55"/>
    <n v="38"/>
    <n v="15"/>
    <n v="10"/>
    <n v="13"/>
    <n v="46"/>
    <n v="39"/>
    <n v="7"/>
  </r>
  <r>
    <x v="19"/>
    <n v="9"/>
    <x v="2"/>
    <n v="54"/>
    <n v="38"/>
    <n v="13"/>
    <n v="15"/>
    <n v="10"/>
    <n v="55"/>
    <n v="42"/>
    <n v="13"/>
  </r>
  <r>
    <x v="19"/>
    <n v="10"/>
    <x v="38"/>
    <n v="53"/>
    <n v="38"/>
    <n v="15"/>
    <n v="8"/>
    <n v="15"/>
    <n v="40"/>
    <n v="40"/>
    <n v="0"/>
  </r>
  <r>
    <x v="19"/>
    <n v="11"/>
    <x v="25"/>
    <n v="53"/>
    <n v="38"/>
    <n v="15"/>
    <n v="8"/>
    <n v="15"/>
    <n v="41"/>
    <n v="43"/>
    <n v="-2"/>
  </r>
  <r>
    <x v="19"/>
    <n v="12"/>
    <x v="1"/>
    <n v="47"/>
    <n v="38"/>
    <n v="12"/>
    <n v="11"/>
    <n v="15"/>
    <n v="44"/>
    <n v="41"/>
    <n v="3"/>
  </r>
  <r>
    <x v="19"/>
    <n v="13"/>
    <x v="8"/>
    <n v="46"/>
    <n v="38"/>
    <n v="11"/>
    <n v="13"/>
    <n v="14"/>
    <n v="40"/>
    <n v="53"/>
    <n v="-13"/>
  </r>
  <r>
    <x v="19"/>
    <n v="14"/>
    <x v="42"/>
    <n v="44"/>
    <n v="38"/>
    <n v="11"/>
    <n v="11"/>
    <n v="16"/>
    <n v="49"/>
    <n v="59"/>
    <n v="-10"/>
  </r>
  <r>
    <x v="19"/>
    <n v="15"/>
    <x v="4"/>
    <n v="42"/>
    <n v="38"/>
    <n v="12"/>
    <n v="6"/>
    <n v="20"/>
    <n v="39"/>
    <n v="60"/>
    <n v="-21"/>
  </r>
  <r>
    <x v="19"/>
    <n v="16"/>
    <x v="43"/>
    <n v="41"/>
    <n v="38"/>
    <n v="10"/>
    <n v="11"/>
    <n v="17"/>
    <n v="31"/>
    <n v="42"/>
    <n v="-11"/>
  </r>
  <r>
    <x v="19"/>
    <n v="17"/>
    <x v="36"/>
    <n v="37"/>
    <n v="38"/>
    <n v="7"/>
    <n v="16"/>
    <n v="15"/>
    <n v="34"/>
    <n v="41"/>
    <n v="-7"/>
  </r>
  <r>
    <x v="19"/>
    <n v="18"/>
    <x v="37"/>
    <n v="36"/>
    <n v="38"/>
    <n v="8"/>
    <n v="12"/>
    <n v="18"/>
    <n v="39"/>
    <n v="57"/>
    <n v="-18"/>
  </r>
  <r>
    <x v="19"/>
    <n v="19"/>
    <x v="33"/>
    <n v="35"/>
    <n v="38"/>
    <n v="9"/>
    <n v="8"/>
    <n v="21"/>
    <n v="34"/>
    <n v="60"/>
    <n v="-26"/>
  </r>
  <r>
    <x v="19"/>
    <n v="20"/>
    <x v="17"/>
    <n v="22"/>
    <n v="38"/>
    <n v="3"/>
    <n v="13"/>
    <n v="22"/>
    <n v="29"/>
    <n v="69"/>
    <n v="-40"/>
  </r>
  <r>
    <x v="20"/>
    <n v="1"/>
    <x v="24"/>
    <n v="70"/>
    <n v="38"/>
    <n v="20"/>
    <n v="10"/>
    <n v="8"/>
    <n v="64"/>
    <n v="33"/>
    <n v="31"/>
  </r>
  <r>
    <x v="20"/>
    <n v="2"/>
    <x v="20"/>
    <n v="68"/>
    <n v="38"/>
    <n v="21"/>
    <n v="5"/>
    <n v="12"/>
    <n v="63"/>
    <n v="56"/>
    <n v="7"/>
  </r>
  <r>
    <x v="20"/>
    <n v="3"/>
    <x v="5"/>
    <n v="66"/>
    <n v="38"/>
    <n v="19"/>
    <n v="9"/>
    <n v="10"/>
    <n v="52"/>
    <n v="32"/>
    <n v="20"/>
  </r>
  <r>
    <x v="20"/>
    <n v="4"/>
    <x v="7"/>
    <n v="66"/>
    <n v="38"/>
    <n v="19"/>
    <n v="9"/>
    <n v="10"/>
    <n v="56"/>
    <n v="42"/>
    <n v="14"/>
  </r>
  <r>
    <x v="20"/>
    <n v="5"/>
    <x v="25"/>
    <n v="64"/>
    <n v="38"/>
    <n v="18"/>
    <n v="10"/>
    <n v="10"/>
    <n v="58"/>
    <n v="37"/>
    <n v="21"/>
  </r>
  <r>
    <x v="20"/>
    <n v="6"/>
    <x v="42"/>
    <n v="62"/>
    <n v="38"/>
    <n v="17"/>
    <n v="11"/>
    <n v="10"/>
    <n v="49"/>
    <n v="35"/>
    <n v="14"/>
  </r>
  <r>
    <x v="20"/>
    <n v="7"/>
    <x v="18"/>
    <n v="56"/>
    <n v="38"/>
    <n v="16"/>
    <n v="8"/>
    <n v="14"/>
    <n v="51"/>
    <n v="47"/>
    <n v="4"/>
  </r>
  <r>
    <x v="20"/>
    <n v="8"/>
    <x v="11"/>
    <n v="56"/>
    <n v="38"/>
    <n v="14"/>
    <n v="14"/>
    <n v="10"/>
    <n v="51"/>
    <n v="43"/>
    <n v="8"/>
  </r>
  <r>
    <x v="20"/>
    <n v="9"/>
    <x v="6"/>
    <n v="55"/>
    <n v="38"/>
    <n v="15"/>
    <n v="10"/>
    <n v="13"/>
    <n v="46"/>
    <n v="45"/>
    <n v="1"/>
  </r>
  <r>
    <x v="20"/>
    <n v="10"/>
    <x v="22"/>
    <n v="54"/>
    <n v="38"/>
    <n v="15"/>
    <n v="9"/>
    <n v="14"/>
    <n v="45"/>
    <n v="44"/>
    <n v="1"/>
  </r>
  <r>
    <x v="20"/>
    <n v="11"/>
    <x v="2"/>
    <n v="53"/>
    <n v="38"/>
    <n v="14"/>
    <n v="11"/>
    <n v="13"/>
    <n v="40"/>
    <n v="38"/>
    <n v="2"/>
  </r>
  <r>
    <x v="20"/>
    <n v="12"/>
    <x v="43"/>
    <n v="51"/>
    <n v="38"/>
    <n v="14"/>
    <n v="9"/>
    <n v="15"/>
    <n v="40"/>
    <n v="39"/>
    <n v="1"/>
  </r>
  <r>
    <x v="20"/>
    <n v="13"/>
    <x v="14"/>
    <n v="50"/>
    <n v="38"/>
    <n v="12"/>
    <n v="14"/>
    <n v="12"/>
    <n v="47"/>
    <n v="48"/>
    <n v="-1"/>
  </r>
  <r>
    <x v="20"/>
    <n v="14"/>
    <x v="0"/>
    <n v="47"/>
    <n v="38"/>
    <n v="11"/>
    <n v="14"/>
    <n v="13"/>
    <n v="35"/>
    <n v="32"/>
    <n v="3"/>
  </r>
  <r>
    <x v="20"/>
    <n v="15"/>
    <x v="16"/>
    <n v="45"/>
    <n v="38"/>
    <n v="12"/>
    <n v="9"/>
    <n v="17"/>
    <n v="41"/>
    <n v="51"/>
    <n v="-10"/>
  </r>
  <r>
    <x v="20"/>
    <n v="16"/>
    <x v="23"/>
    <n v="44"/>
    <n v="38"/>
    <n v="12"/>
    <n v="8"/>
    <n v="18"/>
    <n v="50"/>
    <n v="53"/>
    <n v="-3"/>
  </r>
  <r>
    <x v="20"/>
    <n v="17"/>
    <x v="1"/>
    <n v="43"/>
    <n v="38"/>
    <n v="11"/>
    <n v="10"/>
    <n v="17"/>
    <n v="39"/>
    <n v="64"/>
    <n v="-25"/>
  </r>
  <r>
    <x v="20"/>
    <n v="18"/>
    <x v="8"/>
    <n v="38"/>
    <n v="38"/>
    <n v="9"/>
    <n v="11"/>
    <n v="18"/>
    <n v="36"/>
    <n v="53"/>
    <n v="-17"/>
  </r>
  <r>
    <x v="20"/>
    <n v="19"/>
    <x v="4"/>
    <n v="30"/>
    <n v="38"/>
    <n v="8"/>
    <n v="6"/>
    <n v="24"/>
    <n v="41"/>
    <n v="73"/>
    <n v="-32"/>
  </r>
  <r>
    <x v="20"/>
    <n v="20"/>
    <x v="38"/>
    <n v="24"/>
    <n v="38"/>
    <n v="5"/>
    <n v="9"/>
    <n v="24"/>
    <n v="42"/>
    <n v="81"/>
    <n v="-39"/>
  </r>
  <r>
    <x v="21"/>
    <n v="1"/>
    <x v="25"/>
    <n v="79"/>
    <n v="38"/>
    <n v="23"/>
    <n v="10"/>
    <n v="5"/>
    <n v="59"/>
    <n v="29"/>
    <n v="30"/>
  </r>
  <r>
    <x v="21"/>
    <n v="2"/>
    <x v="24"/>
    <n v="73"/>
    <n v="38"/>
    <n v="22"/>
    <n v="7"/>
    <n v="9"/>
    <n v="60"/>
    <n v="33"/>
    <n v="27"/>
  </r>
  <r>
    <x v="21"/>
    <n v="3"/>
    <x v="7"/>
    <n v="70"/>
    <n v="38"/>
    <n v="20"/>
    <n v="10"/>
    <n v="8"/>
    <n v="61"/>
    <n v="42"/>
    <n v="19"/>
  </r>
  <r>
    <x v="21"/>
    <n v="4"/>
    <x v="22"/>
    <n v="68"/>
    <n v="38"/>
    <n v="19"/>
    <n v="11"/>
    <n v="8"/>
    <n v="53"/>
    <n v="39"/>
    <n v="14"/>
  </r>
  <r>
    <x v="21"/>
    <n v="5"/>
    <x v="6"/>
    <n v="65"/>
    <n v="38"/>
    <n v="18"/>
    <n v="11"/>
    <n v="9"/>
    <n v="53"/>
    <n v="36"/>
    <n v="17"/>
  </r>
  <r>
    <x v="21"/>
    <n v="6"/>
    <x v="2"/>
    <n v="59"/>
    <n v="38"/>
    <n v="17"/>
    <n v="8"/>
    <n v="13"/>
    <n v="53"/>
    <n v="43"/>
    <n v="10"/>
  </r>
  <r>
    <x v="21"/>
    <n v="7"/>
    <x v="14"/>
    <n v="56"/>
    <n v="38"/>
    <n v="15"/>
    <n v="11"/>
    <n v="12"/>
    <n v="54"/>
    <n v="45"/>
    <n v="9"/>
  </r>
  <r>
    <x v="21"/>
    <n v="8"/>
    <x v="23"/>
    <n v="53"/>
    <n v="38"/>
    <n v="15"/>
    <n v="8"/>
    <n v="15"/>
    <n v="49"/>
    <n v="49"/>
    <n v="0"/>
  </r>
  <r>
    <x v="21"/>
    <n v="9"/>
    <x v="16"/>
    <n v="50"/>
    <n v="38"/>
    <n v="14"/>
    <n v="8"/>
    <n v="16"/>
    <n v="43"/>
    <n v="56"/>
    <n v="-13"/>
  </r>
  <r>
    <x v="21"/>
    <n v="10"/>
    <x v="0"/>
    <n v="49"/>
    <n v="37"/>
    <n v="13"/>
    <n v="10"/>
    <n v="14"/>
    <n v="42"/>
    <n v="41"/>
    <n v="1"/>
  </r>
  <r>
    <x v="21"/>
    <n v="11"/>
    <x v="15"/>
    <n v="47"/>
    <n v="38"/>
    <n v="13"/>
    <n v="8"/>
    <n v="17"/>
    <n v="45"/>
    <n v="52"/>
    <n v="-7"/>
  </r>
  <r>
    <x v="21"/>
    <n v="12"/>
    <x v="5"/>
    <n v="47"/>
    <n v="38"/>
    <n v="11"/>
    <n v="14"/>
    <n v="13"/>
    <n v="47"/>
    <n v="54"/>
    <n v="-7"/>
  </r>
  <r>
    <x v="21"/>
    <n v="13"/>
    <x v="18"/>
    <n v="46"/>
    <n v="38"/>
    <n v="12"/>
    <n v="10"/>
    <n v="16"/>
    <n v="33"/>
    <n v="39"/>
    <n v="-6"/>
  </r>
  <r>
    <x v="21"/>
    <n v="14"/>
    <x v="20"/>
    <n v="45"/>
    <n v="38"/>
    <n v="12"/>
    <n v="9"/>
    <n v="17"/>
    <n v="44"/>
    <n v="50"/>
    <n v="-6"/>
  </r>
  <r>
    <x v="21"/>
    <n v="15"/>
    <x v="17"/>
    <n v="45"/>
    <n v="37"/>
    <n v="11"/>
    <n v="12"/>
    <n v="14"/>
    <n v="48"/>
    <n v="58"/>
    <n v="-10"/>
  </r>
  <r>
    <x v="21"/>
    <n v="16"/>
    <x v="42"/>
    <n v="44"/>
    <n v="38"/>
    <n v="10"/>
    <n v="14"/>
    <n v="14"/>
    <n v="44"/>
    <n v="48"/>
    <n v="-4"/>
  </r>
  <r>
    <x v="21"/>
    <n v="17"/>
    <x v="11"/>
    <n v="42"/>
    <n v="38"/>
    <n v="11"/>
    <n v="9"/>
    <n v="18"/>
    <n v="40"/>
    <n v="46"/>
    <n v="-6"/>
  </r>
  <r>
    <x v="21"/>
    <n v="18"/>
    <x v="13"/>
    <n v="38"/>
    <n v="38"/>
    <n v="9"/>
    <n v="11"/>
    <n v="18"/>
    <n v="42"/>
    <n v="61"/>
    <n v="-19"/>
  </r>
  <r>
    <x v="21"/>
    <n v="19"/>
    <x v="37"/>
    <n v="30"/>
    <n v="38"/>
    <n v="7"/>
    <n v="9"/>
    <n v="22"/>
    <n v="29"/>
    <n v="58"/>
    <n v="-29"/>
  </r>
  <r>
    <x v="21"/>
    <n v="20"/>
    <x v="43"/>
    <n v="30"/>
    <n v="38"/>
    <n v="6"/>
    <n v="12"/>
    <n v="20"/>
    <n v="29"/>
    <n v="49"/>
    <n v="-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E985E-D2C4-4149-9269-487E1473B7F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3:B48" firstHeaderRow="1" firstDataRow="1" firstDataCol="1"/>
  <pivotFields count="11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 sortType="descending">
      <items count="45">
        <item sd="0" x="38"/>
        <item sd="0" x="30"/>
        <item sd="0" x="11"/>
        <item sd="0" x="37"/>
        <item sd="0" x="5"/>
        <item sd="0" x="33"/>
        <item sd="0" x="23"/>
        <item sd="0" x="25"/>
        <item sd="0" x="26"/>
        <item sd="0" x="36"/>
        <item sd="0" x="39"/>
        <item sd="0" x="14"/>
        <item sd="0" x="4"/>
        <item sd="0" x="13"/>
        <item sd="0" x="0"/>
        <item sd="0" x="41"/>
        <item sd="0" x="43"/>
        <item sd="0" x="10"/>
        <item sd="0" x="7"/>
        <item sd="0" x="18"/>
        <item sd="0" x="22"/>
        <item sd="0" x="8"/>
        <item sd="0" x="20"/>
        <item sd="0" x="34"/>
        <item sd="0" x="12"/>
        <item sd="0" x="6"/>
        <item sd="0" x="32"/>
        <item sd="0" x="40"/>
        <item sd="0" x="17"/>
        <item sd="0" x="29"/>
        <item sd="0" x="24"/>
        <item sd="0" x="9"/>
        <item sd="0" x="21"/>
        <item sd="0" x="19"/>
        <item sd="0" x="31"/>
        <item sd="0" x="42"/>
        <item sd="0" x="3"/>
        <item sd="0" x="2"/>
        <item sd="0" x="27"/>
        <item sd="0" x="35"/>
        <item sd="0" x="1"/>
        <item sd="0" x="28"/>
        <item sd="0" x="16"/>
        <item sd="0" x="15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45">
    <i>
      <x v="37"/>
    </i>
    <i>
      <x v="18"/>
    </i>
    <i>
      <x v="25"/>
    </i>
    <i>
      <x v="11"/>
    </i>
    <i>
      <x v="30"/>
    </i>
    <i>
      <x v="40"/>
    </i>
    <i>
      <x v="4"/>
    </i>
    <i>
      <x v="19"/>
    </i>
    <i>
      <x v="22"/>
    </i>
    <i>
      <x v="2"/>
    </i>
    <i>
      <x v="14"/>
    </i>
    <i>
      <x v="7"/>
    </i>
    <i>
      <x v="42"/>
    </i>
    <i>
      <x v="21"/>
    </i>
    <i>
      <x v="12"/>
    </i>
    <i>
      <x v="6"/>
    </i>
    <i>
      <x v="17"/>
    </i>
    <i>
      <x v="43"/>
    </i>
    <i>
      <x v="41"/>
    </i>
    <i>
      <x v="20"/>
    </i>
    <i>
      <x v="33"/>
    </i>
    <i>
      <x v="28"/>
    </i>
    <i>
      <x v="3"/>
    </i>
    <i>
      <x v="9"/>
    </i>
    <i>
      <x v="31"/>
    </i>
    <i>
      <x v="10"/>
    </i>
    <i>
      <x v="5"/>
    </i>
    <i>
      <x v="35"/>
    </i>
    <i>
      <x/>
    </i>
    <i>
      <x v="13"/>
    </i>
    <i>
      <x v="36"/>
    </i>
    <i>
      <x v="29"/>
    </i>
    <i>
      <x v="16"/>
    </i>
    <i>
      <x v="24"/>
    </i>
    <i>
      <x v="32"/>
    </i>
    <i>
      <x v="34"/>
    </i>
    <i>
      <x v="23"/>
    </i>
    <i>
      <x v="38"/>
    </i>
    <i>
      <x v="8"/>
    </i>
    <i>
      <x v="39"/>
    </i>
    <i>
      <x v="26"/>
    </i>
    <i>
      <x v="15"/>
    </i>
    <i>
      <x v="27"/>
    </i>
    <i>
      <x v="1"/>
    </i>
    <i t="grand">
      <x/>
    </i>
  </rowItems>
  <colItems count="1">
    <i/>
  </colItems>
  <dataFields count="1">
    <dataField name="Soma de points" fld="3" baseField="0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6F2EB-6FBD-4A50-AFF4-E7A6C3EFAA5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8" firstHeaderRow="1" firstDataRow="1" firstDataCol="1"/>
  <pivotFields count="11">
    <pivotField showAll="0"/>
    <pivotField showAll="0"/>
    <pivotField axis="axisRow" showAll="0" sortType="descending">
      <items count="45">
        <item x="38"/>
        <item x="30"/>
        <item x="11"/>
        <item x="37"/>
        <item x="5"/>
        <item x="33"/>
        <item x="23"/>
        <item x="25"/>
        <item x="26"/>
        <item x="36"/>
        <item x="39"/>
        <item x="14"/>
        <item x="4"/>
        <item x="13"/>
        <item x="0"/>
        <item x="41"/>
        <item x="43"/>
        <item x="10"/>
        <item x="7"/>
        <item x="18"/>
        <item x="22"/>
        <item x="8"/>
        <item x="20"/>
        <item x="34"/>
        <item x="12"/>
        <item x="6"/>
        <item x="32"/>
        <item x="40"/>
        <item x="17"/>
        <item x="29"/>
        <item x="24"/>
        <item x="9"/>
        <item x="21"/>
        <item x="19"/>
        <item x="31"/>
        <item x="42"/>
        <item x="3"/>
        <item x="2"/>
        <item x="27"/>
        <item x="35"/>
        <item x="1"/>
        <item x="28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5">
    <i>
      <x v="18"/>
    </i>
    <i>
      <x v="37"/>
    </i>
    <i>
      <x v="4"/>
    </i>
    <i>
      <x v="40"/>
    </i>
    <i>
      <x v="30"/>
    </i>
    <i>
      <x v="19"/>
    </i>
    <i>
      <x v="25"/>
    </i>
    <i>
      <x v="2"/>
    </i>
    <i>
      <x v="22"/>
    </i>
    <i>
      <x v="14"/>
    </i>
    <i>
      <x v="11"/>
    </i>
    <i>
      <x v="7"/>
    </i>
    <i>
      <x v="42"/>
    </i>
    <i>
      <x v="21"/>
    </i>
    <i>
      <x v="12"/>
    </i>
    <i>
      <x v="43"/>
    </i>
    <i>
      <x v="17"/>
    </i>
    <i>
      <x v="6"/>
    </i>
    <i>
      <x v="41"/>
    </i>
    <i>
      <x v="20"/>
    </i>
    <i>
      <x v="33"/>
    </i>
    <i>
      <x v="28"/>
    </i>
    <i>
      <x v="3"/>
    </i>
    <i>
      <x v="31"/>
    </i>
    <i>
      <x v="9"/>
    </i>
    <i>
      <x v="5"/>
    </i>
    <i>
      <x v="10"/>
    </i>
    <i>
      <x v="35"/>
    </i>
    <i>
      <x v="13"/>
    </i>
    <i>
      <x/>
    </i>
    <i>
      <x v="29"/>
    </i>
    <i>
      <x v="36"/>
    </i>
    <i>
      <x v="32"/>
    </i>
    <i>
      <x v="24"/>
    </i>
    <i>
      <x v="34"/>
    </i>
    <i>
      <x v="16"/>
    </i>
    <i>
      <x v="23"/>
    </i>
    <i>
      <x v="38"/>
    </i>
    <i>
      <x v="8"/>
    </i>
    <i>
      <x v="39"/>
    </i>
    <i>
      <x v="26"/>
    </i>
    <i>
      <x v="27"/>
    </i>
    <i>
      <x v="1"/>
    </i>
    <i>
      <x v="15"/>
    </i>
    <i t="grand">
      <x/>
    </i>
  </rowItems>
  <colItems count="1">
    <i/>
  </colItems>
  <dataFields count="1">
    <dataField name="Soma de goal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63516-E0BA-4E2A-B76A-336E02D8706D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8" firstHeaderRow="1" firstDataRow="1" firstDataCol="1"/>
  <pivotFields count="11">
    <pivotField showAll="0"/>
    <pivotField showAll="0"/>
    <pivotField axis="axisRow" showAll="0" sortType="descending">
      <items count="45">
        <item x="38"/>
        <item x="30"/>
        <item x="11"/>
        <item x="37"/>
        <item x="5"/>
        <item x="33"/>
        <item x="23"/>
        <item x="25"/>
        <item x="26"/>
        <item x="36"/>
        <item x="39"/>
        <item x="14"/>
        <item x="4"/>
        <item x="13"/>
        <item x="0"/>
        <item x="41"/>
        <item x="43"/>
        <item x="10"/>
        <item x="7"/>
        <item x="18"/>
        <item x="22"/>
        <item x="8"/>
        <item x="20"/>
        <item x="34"/>
        <item x="12"/>
        <item x="6"/>
        <item x="32"/>
        <item x="40"/>
        <item x="17"/>
        <item x="29"/>
        <item x="24"/>
        <item x="9"/>
        <item x="21"/>
        <item x="19"/>
        <item x="31"/>
        <item x="42"/>
        <item x="3"/>
        <item x="2"/>
        <item x="27"/>
        <item x="35"/>
        <item x="1"/>
        <item x="28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5">
    <i>
      <x v="19"/>
    </i>
    <i>
      <x v="4"/>
    </i>
    <i>
      <x v="2"/>
    </i>
    <i>
      <x v="18"/>
    </i>
    <i>
      <x v="40"/>
    </i>
    <i>
      <x v="42"/>
    </i>
    <i>
      <x v="37"/>
    </i>
    <i>
      <x v="7"/>
    </i>
    <i>
      <x v="14"/>
    </i>
    <i>
      <x v="25"/>
    </i>
    <i>
      <x v="22"/>
    </i>
    <i>
      <x v="11"/>
    </i>
    <i>
      <x v="30"/>
    </i>
    <i>
      <x v="21"/>
    </i>
    <i>
      <x v="12"/>
    </i>
    <i>
      <x v="43"/>
    </i>
    <i>
      <x v="17"/>
    </i>
    <i>
      <x v="6"/>
    </i>
    <i>
      <x v="41"/>
    </i>
    <i>
      <x v="33"/>
    </i>
    <i>
      <x v="28"/>
    </i>
    <i>
      <x v="20"/>
    </i>
    <i>
      <x v="3"/>
    </i>
    <i>
      <x v="5"/>
    </i>
    <i>
      <x v="31"/>
    </i>
    <i>
      <x v="10"/>
    </i>
    <i>
      <x/>
    </i>
    <i>
      <x v="13"/>
    </i>
    <i>
      <x v="29"/>
    </i>
    <i>
      <x v="9"/>
    </i>
    <i>
      <x v="32"/>
    </i>
    <i>
      <x v="35"/>
    </i>
    <i>
      <x v="36"/>
    </i>
    <i>
      <x v="24"/>
    </i>
    <i>
      <x v="16"/>
    </i>
    <i>
      <x v="34"/>
    </i>
    <i>
      <x v="38"/>
    </i>
    <i>
      <x v="23"/>
    </i>
    <i>
      <x v="1"/>
    </i>
    <i>
      <x v="8"/>
    </i>
    <i>
      <x v="26"/>
    </i>
    <i>
      <x v="39"/>
    </i>
    <i>
      <x v="15"/>
    </i>
    <i>
      <x v="27"/>
    </i>
    <i t="grand">
      <x/>
    </i>
  </rowItems>
  <colItems count="1">
    <i/>
  </colItems>
  <dataFields count="1">
    <dataField name="Soma de goals_taken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E3DBC-1AC9-4674-BCA2-ACFF4D850F8A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8" firstHeaderRow="1" firstDataRow="1" firstDataCol="1"/>
  <pivotFields count="11">
    <pivotField showAll="0"/>
    <pivotField showAll="0"/>
    <pivotField axis="axisRow" showAll="0" sortType="descending">
      <items count="45">
        <item x="38"/>
        <item x="30"/>
        <item x="11"/>
        <item x="37"/>
        <item x="5"/>
        <item x="33"/>
        <item x="23"/>
        <item x="25"/>
        <item x="26"/>
        <item x="36"/>
        <item x="39"/>
        <item x="14"/>
        <item x="4"/>
        <item x="13"/>
        <item x="0"/>
        <item x="41"/>
        <item x="43"/>
        <item x="10"/>
        <item x="7"/>
        <item x="18"/>
        <item x="22"/>
        <item x="8"/>
        <item x="20"/>
        <item x="34"/>
        <item x="12"/>
        <item x="6"/>
        <item x="32"/>
        <item x="40"/>
        <item x="17"/>
        <item x="29"/>
        <item x="24"/>
        <item x="9"/>
        <item x="21"/>
        <item x="19"/>
        <item x="31"/>
        <item x="42"/>
        <item x="3"/>
        <item x="2"/>
        <item x="27"/>
        <item x="35"/>
        <item x="1"/>
        <item x="28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5">
    <i>
      <x v="37"/>
    </i>
    <i>
      <x v="30"/>
    </i>
    <i>
      <x v="18"/>
    </i>
    <i>
      <x v="25"/>
    </i>
    <i>
      <x v="40"/>
    </i>
    <i>
      <x v="22"/>
    </i>
    <i>
      <x v="11"/>
    </i>
    <i>
      <x v="14"/>
    </i>
    <i>
      <x v="4"/>
    </i>
    <i>
      <x v="2"/>
    </i>
    <i>
      <x v="19"/>
    </i>
    <i>
      <x v="7"/>
    </i>
    <i>
      <x v="35"/>
    </i>
    <i>
      <x v="36"/>
    </i>
    <i>
      <x v="39"/>
    </i>
    <i>
      <x v="23"/>
    </i>
    <i>
      <x v="8"/>
    </i>
    <i>
      <x v="34"/>
    </i>
    <i>
      <x v="27"/>
    </i>
    <i>
      <x v="26"/>
    </i>
    <i>
      <x v="16"/>
    </i>
    <i>
      <x v="20"/>
    </i>
    <i>
      <x v="15"/>
    </i>
    <i>
      <x v="24"/>
    </i>
    <i>
      <x v="9"/>
    </i>
    <i>
      <x v="21"/>
    </i>
    <i>
      <x v="32"/>
    </i>
    <i>
      <x v="1"/>
    </i>
    <i>
      <x v="31"/>
    </i>
    <i>
      <x v="38"/>
    </i>
    <i>
      <x v="6"/>
    </i>
    <i>
      <x v="13"/>
    </i>
    <i>
      <x v="17"/>
    </i>
    <i>
      <x v="29"/>
    </i>
    <i>
      <x v="12"/>
    </i>
    <i>
      <x v="43"/>
    </i>
    <i>
      <x v="10"/>
    </i>
    <i>
      <x v="3"/>
    </i>
    <i>
      <x v="41"/>
    </i>
    <i>
      <x/>
    </i>
    <i>
      <x v="42"/>
    </i>
    <i>
      <x v="28"/>
    </i>
    <i>
      <x v="33"/>
    </i>
    <i>
      <x v="5"/>
    </i>
    <i t="grand">
      <x/>
    </i>
  </rowItems>
  <colItems count="1">
    <i/>
  </colItems>
  <dataFields count="1">
    <dataField name="Soma de goals_diff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E5094-36B0-4499-AF3F-1A68AC7EC5DB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8" firstHeaderRow="1" firstDataRow="1" firstDataCol="1"/>
  <pivotFields count="11">
    <pivotField showAll="0"/>
    <pivotField showAll="0"/>
    <pivotField axis="axisRow" showAll="0" sortType="descending">
      <items count="45">
        <item x="38"/>
        <item x="30"/>
        <item x="11"/>
        <item x="37"/>
        <item x="5"/>
        <item x="33"/>
        <item x="23"/>
        <item x="25"/>
        <item x="26"/>
        <item x="36"/>
        <item x="39"/>
        <item x="14"/>
        <item x="4"/>
        <item x="13"/>
        <item x="0"/>
        <item x="41"/>
        <item x="43"/>
        <item x="10"/>
        <item x="7"/>
        <item x="18"/>
        <item x="22"/>
        <item x="8"/>
        <item x="20"/>
        <item x="34"/>
        <item x="12"/>
        <item x="6"/>
        <item x="32"/>
        <item x="40"/>
        <item x="17"/>
        <item x="29"/>
        <item x="24"/>
        <item x="9"/>
        <item x="21"/>
        <item x="19"/>
        <item x="31"/>
        <item x="42"/>
        <item x="3"/>
        <item x="2"/>
        <item x="27"/>
        <item x="35"/>
        <item x="1"/>
        <item x="28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5">
    <i>
      <x v="37"/>
    </i>
    <i>
      <x v="30"/>
    </i>
    <i>
      <x v="18"/>
    </i>
    <i>
      <x v="25"/>
    </i>
    <i>
      <x v="11"/>
    </i>
    <i>
      <x v="14"/>
    </i>
    <i>
      <x v="40"/>
    </i>
    <i>
      <x v="22"/>
    </i>
    <i>
      <x v="4"/>
    </i>
    <i>
      <x v="19"/>
    </i>
    <i>
      <x v="2"/>
    </i>
    <i>
      <x v="36"/>
    </i>
    <i>
      <x v="7"/>
    </i>
    <i>
      <x v="20"/>
    </i>
    <i>
      <x v="35"/>
    </i>
    <i>
      <x v="21"/>
    </i>
    <i>
      <x v="42"/>
    </i>
    <i>
      <x v="31"/>
    </i>
    <i>
      <x v="17"/>
    </i>
    <i>
      <x v="24"/>
    </i>
    <i>
      <x v="32"/>
    </i>
    <i>
      <x v="33"/>
    </i>
    <i>
      <x v="12"/>
    </i>
    <i>
      <x v="28"/>
    </i>
    <i>
      <x v="43"/>
    </i>
    <i>
      <x v="6"/>
    </i>
    <i>
      <x v="41"/>
    </i>
    <i>
      <x v="13"/>
    </i>
    <i>
      <x v="9"/>
    </i>
    <i>
      <x v="34"/>
    </i>
    <i>
      <x v="16"/>
    </i>
    <i>
      <x v="8"/>
    </i>
    <i>
      <x v="10"/>
    </i>
    <i>
      <x v="39"/>
    </i>
    <i>
      <x v="3"/>
    </i>
    <i>
      <x v="29"/>
    </i>
    <i>
      <x/>
    </i>
    <i>
      <x v="5"/>
    </i>
    <i>
      <x v="23"/>
    </i>
    <i>
      <x v="26"/>
    </i>
    <i>
      <x v="15"/>
    </i>
    <i>
      <x v="27"/>
    </i>
    <i>
      <x v="38"/>
    </i>
    <i>
      <x v="1"/>
    </i>
    <i t="grand">
      <x/>
    </i>
  </rowItems>
  <colItems count="1">
    <i/>
  </colItems>
  <dataFields count="1">
    <dataField name="Média de points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4EF1F-92F9-4086-9732-FC37E86472D5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8" firstHeaderRow="0" firstDataRow="1" firstDataCol="1"/>
  <pivotFields count="11">
    <pivotField showAll="0"/>
    <pivotField showAll="0"/>
    <pivotField axis="axisRow" showAll="0" sortType="descending">
      <items count="45">
        <item x="38"/>
        <item x="30"/>
        <item x="11"/>
        <item x="37"/>
        <item x="5"/>
        <item x="33"/>
        <item x="23"/>
        <item x="25"/>
        <item x="26"/>
        <item x="36"/>
        <item x="39"/>
        <item x="14"/>
        <item x="4"/>
        <item x="13"/>
        <item x="0"/>
        <item x="41"/>
        <item x="43"/>
        <item x="10"/>
        <item x="7"/>
        <item x="18"/>
        <item x="22"/>
        <item x="8"/>
        <item x="20"/>
        <item x="34"/>
        <item x="12"/>
        <item x="6"/>
        <item x="32"/>
        <item x="40"/>
        <item x="17"/>
        <item x="29"/>
        <item x="24"/>
        <item x="9"/>
        <item x="21"/>
        <item x="19"/>
        <item x="31"/>
        <item x="42"/>
        <item x="3"/>
        <item x="2"/>
        <item x="27"/>
        <item x="35"/>
        <item x="1"/>
        <item x="28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5">
    <i>
      <x v="37"/>
    </i>
    <i>
      <x v="18"/>
    </i>
    <i>
      <x v="25"/>
    </i>
    <i>
      <x v="11"/>
    </i>
    <i>
      <x v="30"/>
    </i>
    <i>
      <x v="40"/>
    </i>
    <i>
      <x v="4"/>
    </i>
    <i>
      <x v="19"/>
    </i>
    <i>
      <x v="22"/>
    </i>
    <i>
      <x v="2"/>
    </i>
    <i>
      <x v="14"/>
    </i>
    <i>
      <x v="7"/>
    </i>
    <i>
      <x v="42"/>
    </i>
    <i>
      <x v="21"/>
    </i>
    <i>
      <x v="12"/>
    </i>
    <i>
      <x v="6"/>
    </i>
    <i>
      <x v="17"/>
    </i>
    <i>
      <x v="43"/>
    </i>
    <i>
      <x v="41"/>
    </i>
    <i>
      <x v="20"/>
    </i>
    <i>
      <x v="33"/>
    </i>
    <i>
      <x v="28"/>
    </i>
    <i>
      <x v="3"/>
    </i>
    <i>
      <x v="9"/>
    </i>
    <i>
      <x v="31"/>
    </i>
    <i>
      <x v="10"/>
    </i>
    <i>
      <x v="5"/>
    </i>
    <i>
      <x v="35"/>
    </i>
    <i>
      <x/>
    </i>
    <i>
      <x v="13"/>
    </i>
    <i>
      <x v="36"/>
    </i>
    <i>
      <x v="29"/>
    </i>
    <i>
      <x v="16"/>
    </i>
    <i>
      <x v="24"/>
    </i>
    <i>
      <x v="32"/>
    </i>
    <i>
      <x v="34"/>
    </i>
    <i>
      <x v="23"/>
    </i>
    <i>
      <x v="38"/>
    </i>
    <i>
      <x v="8"/>
    </i>
    <i>
      <x v="39"/>
    </i>
    <i>
      <x v="26"/>
    </i>
    <i>
      <x v="15"/>
    </i>
    <i>
      <x v="27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oints" fld="3" baseField="0" baseItem="0"/>
    <dataField name="Soma de goal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23C7-6797-4C38-85CB-B8898D1789B8}">
  <dimension ref="A1:L451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5" x14ac:dyDescent="0.25"/>
  <cols>
    <col min="1" max="1" width="9.140625" customWidth="1"/>
    <col min="3" max="3" width="23.42578125" customWidth="1"/>
    <col min="10" max="10" width="18.28515625" customWidth="1"/>
    <col min="11" max="11" width="13.140625" customWidth="1"/>
    <col min="12" max="12" width="13" customWidth="1"/>
  </cols>
  <sheetData>
    <row r="1" spans="1:12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25">
      <c r="A2" s="1">
        <v>2003</v>
      </c>
      <c r="B2" s="1">
        <v>1</v>
      </c>
      <c r="C2" s="1" t="s">
        <v>0</v>
      </c>
      <c r="D2" s="1">
        <v>100</v>
      </c>
      <c r="E2" s="1">
        <v>46</v>
      </c>
      <c r="F2" s="1">
        <v>31</v>
      </c>
      <c r="G2" s="1">
        <v>7</v>
      </c>
      <c r="H2" s="1">
        <v>8</v>
      </c>
      <c r="I2" s="1">
        <v>102</v>
      </c>
      <c r="J2" s="1">
        <v>47</v>
      </c>
      <c r="K2" s="1">
        <v>55</v>
      </c>
      <c r="L2" s="1">
        <f>D2/I2</f>
        <v>0.98039215686274506</v>
      </c>
    </row>
    <row r="3" spans="1:12" x14ac:dyDescent="0.25">
      <c r="A3" s="1">
        <v>2003</v>
      </c>
      <c r="B3" s="1">
        <v>2</v>
      </c>
      <c r="C3" s="1" t="s">
        <v>1</v>
      </c>
      <c r="D3" s="1">
        <v>87</v>
      </c>
      <c r="E3" s="1">
        <v>46</v>
      </c>
      <c r="F3" s="1">
        <v>25</v>
      </c>
      <c r="G3" s="1">
        <v>12</v>
      </c>
      <c r="H3" s="1">
        <v>9</v>
      </c>
      <c r="I3" s="1">
        <v>93</v>
      </c>
      <c r="J3" s="1">
        <v>60</v>
      </c>
      <c r="K3" s="1">
        <v>33</v>
      </c>
      <c r="L3" s="1">
        <f t="shared" ref="L3:L66" si="0">D3/I3</f>
        <v>0.93548387096774188</v>
      </c>
    </row>
    <row r="4" spans="1:12" x14ac:dyDescent="0.25">
      <c r="A4" s="1">
        <v>2003</v>
      </c>
      <c r="B4" s="1">
        <v>3</v>
      </c>
      <c r="C4" s="1" t="s">
        <v>2</v>
      </c>
      <c r="D4" s="1">
        <v>78</v>
      </c>
      <c r="E4" s="1">
        <v>46</v>
      </c>
      <c r="F4" s="1">
        <v>22</v>
      </c>
      <c r="G4" s="1">
        <v>12</v>
      </c>
      <c r="H4" s="1">
        <v>12</v>
      </c>
      <c r="I4" s="1">
        <v>81</v>
      </c>
      <c r="J4" s="1">
        <v>67</v>
      </c>
      <c r="K4" s="1">
        <v>14</v>
      </c>
      <c r="L4" s="1">
        <f t="shared" si="0"/>
        <v>0.96296296296296291</v>
      </c>
    </row>
    <row r="5" spans="1:12" x14ac:dyDescent="0.25">
      <c r="A5" s="1">
        <v>2003</v>
      </c>
      <c r="B5" s="1">
        <v>4</v>
      </c>
      <c r="C5" s="1" t="s">
        <v>3</v>
      </c>
      <c r="D5" s="1">
        <v>74</v>
      </c>
      <c r="E5" s="1">
        <v>46</v>
      </c>
      <c r="F5" s="1">
        <v>19</v>
      </c>
      <c r="G5" s="1">
        <v>14</v>
      </c>
      <c r="H5" s="1">
        <v>13</v>
      </c>
      <c r="I5" s="1">
        <v>53</v>
      </c>
      <c r="J5" s="1">
        <v>37</v>
      </c>
      <c r="K5" s="1">
        <v>16</v>
      </c>
      <c r="L5" s="1">
        <f t="shared" si="0"/>
        <v>1.3962264150943395</v>
      </c>
    </row>
    <row r="6" spans="1:12" x14ac:dyDescent="0.25">
      <c r="A6" s="1">
        <v>2003</v>
      </c>
      <c r="B6" s="1">
        <v>5</v>
      </c>
      <c r="C6" s="1" t="s">
        <v>4</v>
      </c>
      <c r="D6" s="1">
        <v>73</v>
      </c>
      <c r="E6" s="1">
        <v>46</v>
      </c>
      <c r="F6" s="1">
        <v>21</v>
      </c>
      <c r="G6" s="1">
        <v>10</v>
      </c>
      <c r="H6" s="1">
        <v>15</v>
      </c>
      <c r="I6" s="1">
        <v>67</v>
      </c>
      <c r="J6" s="1">
        <v>58</v>
      </c>
      <c r="K6" s="1">
        <v>9</v>
      </c>
      <c r="L6" s="1">
        <f t="shared" si="0"/>
        <v>1.0895522388059702</v>
      </c>
    </row>
    <row r="7" spans="1:12" x14ac:dyDescent="0.25">
      <c r="A7" s="1">
        <v>2003</v>
      </c>
      <c r="B7" s="1">
        <v>6</v>
      </c>
      <c r="C7" s="1" t="s">
        <v>5</v>
      </c>
      <c r="D7" s="1">
        <v>72</v>
      </c>
      <c r="E7" s="1">
        <v>46</v>
      </c>
      <c r="F7" s="1">
        <v>19</v>
      </c>
      <c r="G7" s="1">
        <v>15</v>
      </c>
      <c r="H7" s="1">
        <v>12</v>
      </c>
      <c r="I7" s="1">
        <v>76</v>
      </c>
      <c r="J7" s="1">
        <v>62</v>
      </c>
      <c r="K7" s="1">
        <v>14</v>
      </c>
      <c r="L7" s="1">
        <f t="shared" si="0"/>
        <v>0.94736842105263153</v>
      </c>
    </row>
    <row r="8" spans="1:12" x14ac:dyDescent="0.25">
      <c r="A8" s="1">
        <v>2003</v>
      </c>
      <c r="B8" s="1">
        <v>7</v>
      </c>
      <c r="C8" s="1" t="s">
        <v>6</v>
      </c>
      <c r="D8" s="1">
        <v>72</v>
      </c>
      <c r="E8" s="1">
        <v>46</v>
      </c>
      <c r="F8" s="1">
        <v>20</v>
      </c>
      <c r="G8" s="1">
        <v>10</v>
      </c>
      <c r="H8" s="1">
        <v>16</v>
      </c>
      <c r="I8" s="1">
        <v>59</v>
      </c>
      <c r="J8" s="1">
        <v>57</v>
      </c>
      <c r="K8" s="1">
        <v>2</v>
      </c>
      <c r="L8" s="1">
        <f t="shared" si="0"/>
        <v>1.2203389830508475</v>
      </c>
    </row>
    <row r="9" spans="1:12" x14ac:dyDescent="0.25">
      <c r="A9" s="1">
        <v>2003</v>
      </c>
      <c r="B9" s="1">
        <v>8</v>
      </c>
      <c r="C9" s="1" t="s">
        <v>7</v>
      </c>
      <c r="D9" s="1">
        <v>66</v>
      </c>
      <c r="E9" s="1">
        <v>46</v>
      </c>
      <c r="F9" s="1">
        <v>18</v>
      </c>
      <c r="G9" s="1">
        <v>12</v>
      </c>
      <c r="H9" s="1">
        <v>16</v>
      </c>
      <c r="I9" s="1">
        <v>66</v>
      </c>
      <c r="J9" s="1">
        <v>73</v>
      </c>
      <c r="K9" s="1">
        <v>-7</v>
      </c>
      <c r="L9" s="1">
        <f t="shared" si="0"/>
        <v>1</v>
      </c>
    </row>
    <row r="10" spans="1:12" x14ac:dyDescent="0.25">
      <c r="A10" s="1">
        <v>2003</v>
      </c>
      <c r="B10" s="1">
        <v>9</v>
      </c>
      <c r="C10" s="1" t="s">
        <v>8</v>
      </c>
      <c r="D10" s="1">
        <v>65</v>
      </c>
      <c r="E10" s="1">
        <v>46</v>
      </c>
      <c r="F10" s="1">
        <v>18</v>
      </c>
      <c r="G10" s="1">
        <v>11</v>
      </c>
      <c r="H10" s="1">
        <v>17</v>
      </c>
      <c r="I10" s="1">
        <v>78</v>
      </c>
      <c r="J10" s="1">
        <v>63</v>
      </c>
      <c r="K10" s="1">
        <v>15</v>
      </c>
      <c r="L10" s="1">
        <f t="shared" si="0"/>
        <v>0.83333333333333337</v>
      </c>
    </row>
    <row r="11" spans="1:12" x14ac:dyDescent="0.25">
      <c r="A11" s="1">
        <v>2003</v>
      </c>
      <c r="B11" s="1">
        <v>10</v>
      </c>
      <c r="C11" s="1" t="s">
        <v>9</v>
      </c>
      <c r="D11" s="1">
        <v>65</v>
      </c>
      <c r="E11" s="1">
        <v>46</v>
      </c>
      <c r="F11" s="1">
        <v>18</v>
      </c>
      <c r="G11" s="1">
        <v>11</v>
      </c>
      <c r="H11" s="1">
        <v>17</v>
      </c>
      <c r="I11" s="1">
        <v>85</v>
      </c>
      <c r="J11" s="1">
        <v>75</v>
      </c>
      <c r="K11" s="1">
        <v>10</v>
      </c>
      <c r="L11" s="1">
        <f t="shared" si="0"/>
        <v>0.76470588235294112</v>
      </c>
    </row>
    <row r="12" spans="1:12" x14ac:dyDescent="0.25">
      <c r="A12" s="1">
        <v>2003</v>
      </c>
      <c r="B12" s="1">
        <v>11</v>
      </c>
      <c r="C12" s="1" t="s">
        <v>10</v>
      </c>
      <c r="D12" s="1">
        <v>65</v>
      </c>
      <c r="E12" s="1">
        <v>46</v>
      </c>
      <c r="F12" s="1">
        <v>17</v>
      </c>
      <c r="G12" s="1">
        <v>14</v>
      </c>
      <c r="H12" s="1">
        <v>15</v>
      </c>
      <c r="I12" s="1">
        <v>62</v>
      </c>
      <c r="J12" s="1">
        <v>54</v>
      </c>
      <c r="K12" s="1">
        <v>8</v>
      </c>
      <c r="L12" s="1">
        <f t="shared" si="0"/>
        <v>1.0483870967741935</v>
      </c>
    </row>
    <row r="13" spans="1:12" x14ac:dyDescent="0.25">
      <c r="A13" s="1">
        <v>2003</v>
      </c>
      <c r="B13" s="1">
        <v>12</v>
      </c>
      <c r="C13" s="1" t="s">
        <v>11</v>
      </c>
      <c r="D13" s="1">
        <v>61</v>
      </c>
      <c r="E13" s="1">
        <v>46</v>
      </c>
      <c r="F13" s="1">
        <v>17</v>
      </c>
      <c r="G13" s="1">
        <v>10</v>
      </c>
      <c r="H13" s="1">
        <v>19</v>
      </c>
      <c r="I13" s="1">
        <v>67</v>
      </c>
      <c r="J13" s="1">
        <v>72</v>
      </c>
      <c r="K13" s="1">
        <v>-5</v>
      </c>
      <c r="L13" s="1">
        <f t="shared" si="0"/>
        <v>0.91044776119402981</v>
      </c>
    </row>
    <row r="14" spans="1:12" x14ac:dyDescent="0.25">
      <c r="A14" s="1">
        <v>2003</v>
      </c>
      <c r="B14" s="1">
        <v>13</v>
      </c>
      <c r="C14" s="1" t="s">
        <v>12</v>
      </c>
      <c r="D14" s="1">
        <v>61</v>
      </c>
      <c r="E14" s="1">
        <v>46</v>
      </c>
      <c r="F14" s="1">
        <v>17</v>
      </c>
      <c r="G14" s="1">
        <v>10</v>
      </c>
      <c r="H14" s="1">
        <v>19</v>
      </c>
      <c r="I14" s="1">
        <v>64</v>
      </c>
      <c r="J14" s="1">
        <v>72</v>
      </c>
      <c r="K14" s="1">
        <v>-8</v>
      </c>
      <c r="L14" s="1">
        <f t="shared" si="0"/>
        <v>0.953125</v>
      </c>
    </row>
    <row r="15" spans="1:12" x14ac:dyDescent="0.25">
      <c r="A15" s="1">
        <v>2003</v>
      </c>
      <c r="B15" s="1">
        <v>14</v>
      </c>
      <c r="C15" s="1" t="s">
        <v>13</v>
      </c>
      <c r="D15" s="1">
        <v>60</v>
      </c>
      <c r="E15" s="1">
        <v>46</v>
      </c>
      <c r="F15" s="1">
        <v>17</v>
      </c>
      <c r="G15" s="1">
        <v>9</v>
      </c>
      <c r="H15" s="1">
        <v>20</v>
      </c>
      <c r="I15" s="1">
        <v>57</v>
      </c>
      <c r="J15" s="1">
        <v>69</v>
      </c>
      <c r="K15" s="1">
        <v>-12</v>
      </c>
      <c r="L15" s="1">
        <f t="shared" si="0"/>
        <v>1.0526315789473684</v>
      </c>
    </row>
    <row r="16" spans="1:12" x14ac:dyDescent="0.25">
      <c r="A16" s="1">
        <v>2003</v>
      </c>
      <c r="B16" s="1">
        <v>15</v>
      </c>
      <c r="C16" s="1" t="s">
        <v>14</v>
      </c>
      <c r="D16" s="1">
        <v>59</v>
      </c>
      <c r="E16" s="1">
        <v>46</v>
      </c>
      <c r="F16" s="1">
        <v>15</v>
      </c>
      <c r="G16" s="1">
        <v>12</v>
      </c>
      <c r="H16" s="1">
        <v>19</v>
      </c>
      <c r="I16" s="1">
        <v>61</v>
      </c>
      <c r="J16" s="1">
        <v>63</v>
      </c>
      <c r="K16" s="1">
        <v>-2</v>
      </c>
      <c r="L16" s="1">
        <f t="shared" si="0"/>
        <v>0.96721311475409832</v>
      </c>
    </row>
    <row r="17" spans="1:12" x14ac:dyDescent="0.25">
      <c r="A17" s="1">
        <v>2003</v>
      </c>
      <c r="B17" s="1">
        <v>16</v>
      </c>
      <c r="C17" s="1" t="s">
        <v>15</v>
      </c>
      <c r="D17" s="1">
        <v>56</v>
      </c>
      <c r="E17" s="1">
        <v>46</v>
      </c>
      <c r="F17" s="1">
        <v>15</v>
      </c>
      <c r="G17" s="1">
        <v>11</v>
      </c>
      <c r="H17" s="1">
        <v>20</v>
      </c>
      <c r="I17" s="1">
        <v>50</v>
      </c>
      <c r="J17" s="1">
        <v>64</v>
      </c>
      <c r="K17" s="1">
        <v>-14</v>
      </c>
      <c r="L17" s="1">
        <f t="shared" si="0"/>
        <v>1.1200000000000001</v>
      </c>
    </row>
    <row r="18" spans="1:12" x14ac:dyDescent="0.25">
      <c r="A18" s="1">
        <v>2003</v>
      </c>
      <c r="B18" s="1">
        <v>17</v>
      </c>
      <c r="C18" s="1" t="s">
        <v>16</v>
      </c>
      <c r="D18" s="1">
        <v>54</v>
      </c>
      <c r="E18" s="1">
        <v>46</v>
      </c>
      <c r="F18" s="1">
        <v>13</v>
      </c>
      <c r="G18" s="1">
        <v>15</v>
      </c>
      <c r="H18" s="1">
        <v>18</v>
      </c>
      <c r="I18" s="1">
        <v>57</v>
      </c>
      <c r="J18" s="1">
        <v>69</v>
      </c>
      <c r="K18" s="1">
        <v>-12</v>
      </c>
      <c r="L18" s="1">
        <f t="shared" si="0"/>
        <v>0.94736842105263153</v>
      </c>
    </row>
    <row r="19" spans="1:12" x14ac:dyDescent="0.25">
      <c r="A19" s="1">
        <v>2003</v>
      </c>
      <c r="B19" s="1">
        <v>18</v>
      </c>
      <c r="C19" s="1" t="s">
        <v>17</v>
      </c>
      <c r="D19" s="1">
        <v>53</v>
      </c>
      <c r="E19" s="1">
        <v>46</v>
      </c>
      <c r="F19" s="1">
        <v>12</v>
      </c>
      <c r="G19" s="1">
        <v>14</v>
      </c>
      <c r="H19" s="1">
        <v>20</v>
      </c>
      <c r="I19" s="1">
        <v>55</v>
      </c>
      <c r="J19" s="1">
        <v>70</v>
      </c>
      <c r="K19" s="1">
        <v>-15</v>
      </c>
      <c r="L19" s="1">
        <f t="shared" si="0"/>
        <v>0.96363636363636362</v>
      </c>
    </row>
    <row r="20" spans="1:12" x14ac:dyDescent="0.25">
      <c r="A20" s="1">
        <v>2003</v>
      </c>
      <c r="B20" s="1">
        <v>19</v>
      </c>
      <c r="C20" s="1" t="s">
        <v>18</v>
      </c>
      <c r="D20" s="1">
        <v>52</v>
      </c>
      <c r="E20" s="1">
        <v>46</v>
      </c>
      <c r="F20" s="1">
        <v>13</v>
      </c>
      <c r="G20" s="1">
        <v>11</v>
      </c>
      <c r="H20" s="1">
        <v>22</v>
      </c>
      <c r="I20" s="1">
        <v>52</v>
      </c>
      <c r="J20" s="1">
        <v>77</v>
      </c>
      <c r="K20" s="1">
        <v>-25</v>
      </c>
      <c r="L20" s="1">
        <f t="shared" si="0"/>
        <v>1</v>
      </c>
    </row>
    <row r="21" spans="1:12" x14ac:dyDescent="0.25">
      <c r="A21" s="1">
        <v>2003</v>
      </c>
      <c r="B21" s="1">
        <v>20</v>
      </c>
      <c r="C21" s="1" t="s">
        <v>19</v>
      </c>
      <c r="D21" s="1">
        <v>50</v>
      </c>
      <c r="E21" s="1">
        <v>46</v>
      </c>
      <c r="F21" s="1">
        <v>11</v>
      </c>
      <c r="G21" s="1">
        <v>18</v>
      </c>
      <c r="H21" s="1">
        <v>17</v>
      </c>
      <c r="I21" s="1">
        <v>63</v>
      </c>
      <c r="J21" s="1">
        <v>73</v>
      </c>
      <c r="K21" s="1">
        <v>-10</v>
      </c>
      <c r="L21" s="1">
        <f t="shared" si="0"/>
        <v>0.79365079365079361</v>
      </c>
    </row>
    <row r="22" spans="1:12" x14ac:dyDescent="0.25">
      <c r="A22" s="1">
        <v>2003</v>
      </c>
      <c r="B22" s="1">
        <v>21</v>
      </c>
      <c r="C22" s="1" t="s">
        <v>20</v>
      </c>
      <c r="D22" s="1">
        <v>50</v>
      </c>
      <c r="E22" s="1">
        <v>46</v>
      </c>
      <c r="F22" s="1">
        <v>13</v>
      </c>
      <c r="G22" s="1">
        <v>11</v>
      </c>
      <c r="H22" s="1">
        <v>22</v>
      </c>
      <c r="I22" s="1">
        <v>54</v>
      </c>
      <c r="J22" s="1">
        <v>68</v>
      </c>
      <c r="K22" s="1">
        <v>-14</v>
      </c>
      <c r="L22" s="1">
        <f t="shared" si="0"/>
        <v>0.92592592592592593</v>
      </c>
    </row>
    <row r="23" spans="1:12" x14ac:dyDescent="0.25">
      <c r="A23" s="1">
        <v>2003</v>
      </c>
      <c r="B23" s="1">
        <v>22</v>
      </c>
      <c r="C23" s="1" t="s">
        <v>21</v>
      </c>
      <c r="D23" s="1">
        <v>49</v>
      </c>
      <c r="E23" s="1">
        <v>46</v>
      </c>
      <c r="F23" s="1">
        <v>15</v>
      </c>
      <c r="G23" s="1">
        <v>12</v>
      </c>
      <c r="H23" s="1">
        <v>19</v>
      </c>
      <c r="I23" s="1">
        <v>74</v>
      </c>
      <c r="J23" s="1">
        <v>77</v>
      </c>
      <c r="K23" s="1">
        <v>-3</v>
      </c>
      <c r="L23" s="1">
        <f t="shared" si="0"/>
        <v>0.66216216216216217</v>
      </c>
    </row>
    <row r="24" spans="1:12" x14ac:dyDescent="0.25">
      <c r="A24" s="1">
        <v>2003</v>
      </c>
      <c r="B24" s="1">
        <v>23</v>
      </c>
      <c r="C24" s="1" t="s">
        <v>22</v>
      </c>
      <c r="D24" s="1">
        <v>49</v>
      </c>
      <c r="E24" s="1">
        <v>46</v>
      </c>
      <c r="F24" s="1">
        <v>12</v>
      </c>
      <c r="G24" s="1">
        <v>13</v>
      </c>
      <c r="H24" s="1">
        <v>21</v>
      </c>
      <c r="I24" s="1">
        <v>58</v>
      </c>
      <c r="J24" s="1">
        <v>74</v>
      </c>
      <c r="K24" s="1">
        <v>-16</v>
      </c>
      <c r="L24" s="1">
        <f t="shared" si="0"/>
        <v>0.84482758620689657</v>
      </c>
    </row>
    <row r="25" spans="1:12" x14ac:dyDescent="0.25">
      <c r="A25" s="1">
        <v>2003</v>
      </c>
      <c r="B25" s="1">
        <v>24</v>
      </c>
      <c r="C25" s="1" t="s">
        <v>23</v>
      </c>
      <c r="D25" s="1">
        <v>46</v>
      </c>
      <c r="E25" s="1">
        <v>46</v>
      </c>
      <c r="F25" s="1">
        <v>12</v>
      </c>
      <c r="G25" s="1">
        <v>10</v>
      </c>
      <c r="H25" s="1">
        <v>24</v>
      </c>
      <c r="I25" s="1">
        <v>59</v>
      </c>
      <c r="J25" s="1">
        <v>92</v>
      </c>
      <c r="K25" s="1">
        <v>-33</v>
      </c>
      <c r="L25" s="1">
        <f t="shared" si="0"/>
        <v>0.77966101694915257</v>
      </c>
    </row>
    <row r="26" spans="1:12" x14ac:dyDescent="0.25">
      <c r="A26" s="1">
        <v>2004</v>
      </c>
      <c r="B26" s="1">
        <v>1</v>
      </c>
      <c r="C26" s="1" t="s">
        <v>1</v>
      </c>
      <c r="D26" s="1">
        <v>89</v>
      </c>
      <c r="E26" s="1">
        <v>46</v>
      </c>
      <c r="F26" s="1">
        <v>27</v>
      </c>
      <c r="G26" s="1">
        <v>8</v>
      </c>
      <c r="H26" s="1">
        <v>11</v>
      </c>
      <c r="I26" s="1">
        <v>103</v>
      </c>
      <c r="J26" s="1">
        <v>58</v>
      </c>
      <c r="K26" s="1">
        <v>45</v>
      </c>
      <c r="L26" s="1">
        <f t="shared" si="0"/>
        <v>0.86407766990291257</v>
      </c>
    </row>
    <row r="27" spans="1:12" x14ac:dyDescent="0.25">
      <c r="A27" s="1">
        <v>2004</v>
      </c>
      <c r="B27" s="1">
        <v>2</v>
      </c>
      <c r="C27" s="1" t="s">
        <v>11</v>
      </c>
      <c r="D27" s="1">
        <v>86</v>
      </c>
      <c r="E27" s="1">
        <v>46</v>
      </c>
      <c r="F27" s="1">
        <v>25</v>
      </c>
      <c r="G27" s="1">
        <v>11</v>
      </c>
      <c r="H27" s="1">
        <v>10</v>
      </c>
      <c r="I27" s="1">
        <v>93</v>
      </c>
      <c r="J27" s="1">
        <v>56</v>
      </c>
      <c r="K27" s="1">
        <v>37</v>
      </c>
      <c r="L27" s="1">
        <f t="shared" si="0"/>
        <v>0.92473118279569888</v>
      </c>
    </row>
    <row r="28" spans="1:12" x14ac:dyDescent="0.25">
      <c r="A28" s="1">
        <v>2004</v>
      </c>
      <c r="B28" s="1">
        <v>3</v>
      </c>
      <c r="C28" s="1" t="s">
        <v>2</v>
      </c>
      <c r="D28" s="1">
        <v>82</v>
      </c>
      <c r="E28" s="1">
        <v>46</v>
      </c>
      <c r="F28" s="1">
        <v>24</v>
      </c>
      <c r="G28" s="1">
        <v>10</v>
      </c>
      <c r="H28" s="1">
        <v>12</v>
      </c>
      <c r="I28" s="1">
        <v>78</v>
      </c>
      <c r="J28" s="1">
        <v>43</v>
      </c>
      <c r="K28" s="1">
        <v>35</v>
      </c>
      <c r="L28" s="1">
        <f t="shared" si="0"/>
        <v>1.0512820512820513</v>
      </c>
    </row>
    <row r="29" spans="1:12" x14ac:dyDescent="0.25">
      <c r="A29" s="1">
        <v>2004</v>
      </c>
      <c r="B29" s="1">
        <v>4</v>
      </c>
      <c r="C29" s="1" t="s">
        <v>24</v>
      </c>
      <c r="D29" s="1">
        <v>79</v>
      </c>
      <c r="E29" s="1">
        <v>46</v>
      </c>
      <c r="F29" s="1">
        <v>22</v>
      </c>
      <c r="G29" s="1">
        <v>13</v>
      </c>
      <c r="H29" s="1">
        <v>11</v>
      </c>
      <c r="I29" s="1">
        <v>72</v>
      </c>
      <c r="J29" s="1">
        <v>47</v>
      </c>
      <c r="K29" s="1">
        <v>25</v>
      </c>
      <c r="L29" s="1">
        <f t="shared" si="0"/>
        <v>1.0972222222222223</v>
      </c>
    </row>
    <row r="30" spans="1:12" x14ac:dyDescent="0.25">
      <c r="A30" s="1">
        <v>2004</v>
      </c>
      <c r="B30" s="1">
        <v>5</v>
      </c>
      <c r="C30" s="1" t="s">
        <v>14</v>
      </c>
      <c r="D30" s="1">
        <v>74</v>
      </c>
      <c r="E30" s="1">
        <v>46</v>
      </c>
      <c r="F30" s="1">
        <v>20</v>
      </c>
      <c r="G30" s="1">
        <v>14</v>
      </c>
      <c r="H30" s="1">
        <v>12</v>
      </c>
      <c r="I30" s="1">
        <v>54</v>
      </c>
      <c r="J30" s="1">
        <v>54</v>
      </c>
      <c r="K30" s="1">
        <v>0</v>
      </c>
      <c r="L30" s="1">
        <f t="shared" si="0"/>
        <v>1.3703703703703705</v>
      </c>
    </row>
    <row r="31" spans="1:12" x14ac:dyDescent="0.25">
      <c r="A31" s="1">
        <v>2004</v>
      </c>
      <c r="B31" s="1">
        <v>6</v>
      </c>
      <c r="C31" s="1" t="s">
        <v>8</v>
      </c>
      <c r="D31" s="1">
        <v>72</v>
      </c>
      <c r="E31" s="1">
        <v>46</v>
      </c>
      <c r="F31" s="1">
        <v>21</v>
      </c>
      <c r="G31" s="1">
        <v>9</v>
      </c>
      <c r="H31" s="1">
        <v>16</v>
      </c>
      <c r="I31" s="1">
        <v>81</v>
      </c>
      <c r="J31" s="1">
        <v>68</v>
      </c>
      <c r="K31" s="1">
        <v>13</v>
      </c>
      <c r="L31" s="1">
        <f t="shared" si="0"/>
        <v>0.88888888888888884</v>
      </c>
    </row>
    <row r="32" spans="1:12" x14ac:dyDescent="0.25">
      <c r="A32" s="1">
        <v>2004</v>
      </c>
      <c r="B32" s="1">
        <v>7</v>
      </c>
      <c r="C32" s="1" t="s">
        <v>17</v>
      </c>
      <c r="D32" s="1">
        <v>70</v>
      </c>
      <c r="E32" s="1">
        <v>46</v>
      </c>
      <c r="F32" s="1">
        <v>20</v>
      </c>
      <c r="G32" s="1">
        <v>10</v>
      </c>
      <c r="H32" s="1">
        <v>16</v>
      </c>
      <c r="I32" s="1">
        <v>60</v>
      </c>
      <c r="J32" s="1">
        <v>66</v>
      </c>
      <c r="K32" s="1">
        <v>-6</v>
      </c>
      <c r="L32" s="1">
        <f t="shared" si="0"/>
        <v>1.1666666666666667</v>
      </c>
    </row>
    <row r="33" spans="1:12" x14ac:dyDescent="0.25">
      <c r="A33" s="1">
        <v>2004</v>
      </c>
      <c r="B33" s="1">
        <v>8</v>
      </c>
      <c r="C33" s="1" t="s">
        <v>6</v>
      </c>
      <c r="D33" s="1">
        <v>67</v>
      </c>
      <c r="E33" s="1">
        <v>46</v>
      </c>
      <c r="F33" s="1">
        <v>20</v>
      </c>
      <c r="G33" s="1">
        <v>7</v>
      </c>
      <c r="H33" s="1">
        <v>19</v>
      </c>
      <c r="I33" s="1">
        <v>66</v>
      </c>
      <c r="J33" s="1">
        <v>59</v>
      </c>
      <c r="K33" s="1">
        <v>7</v>
      </c>
      <c r="L33" s="1">
        <f t="shared" si="0"/>
        <v>1.0151515151515151</v>
      </c>
    </row>
    <row r="34" spans="1:12" x14ac:dyDescent="0.25">
      <c r="A34" s="1">
        <v>2004</v>
      </c>
      <c r="B34" s="1">
        <v>9</v>
      </c>
      <c r="C34" s="1" t="s">
        <v>18</v>
      </c>
      <c r="D34" s="1">
        <v>67</v>
      </c>
      <c r="E34" s="1">
        <v>46</v>
      </c>
      <c r="F34" s="1">
        <v>18</v>
      </c>
      <c r="G34" s="1">
        <v>13</v>
      </c>
      <c r="H34" s="1">
        <v>15</v>
      </c>
      <c r="I34" s="1">
        <v>65</v>
      </c>
      <c r="J34" s="1">
        <v>68</v>
      </c>
      <c r="K34" s="1">
        <v>-3</v>
      </c>
      <c r="L34" s="1">
        <f t="shared" si="0"/>
        <v>1.0307692307692307</v>
      </c>
    </row>
    <row r="35" spans="1:12" x14ac:dyDescent="0.25">
      <c r="A35" s="1">
        <v>2004</v>
      </c>
      <c r="B35" s="1">
        <v>10</v>
      </c>
      <c r="C35" s="1" t="s">
        <v>19</v>
      </c>
      <c r="D35" s="1">
        <v>64</v>
      </c>
      <c r="E35" s="1">
        <v>46</v>
      </c>
      <c r="F35" s="1">
        <v>19</v>
      </c>
      <c r="G35" s="1">
        <v>7</v>
      </c>
      <c r="H35" s="1">
        <v>20</v>
      </c>
      <c r="I35" s="1">
        <v>43</v>
      </c>
      <c r="J35" s="1">
        <v>73</v>
      </c>
      <c r="K35" s="1">
        <v>-30</v>
      </c>
      <c r="L35" s="1">
        <f t="shared" si="0"/>
        <v>1.4883720930232558</v>
      </c>
    </row>
    <row r="36" spans="1:12" x14ac:dyDescent="0.25">
      <c r="A36" s="1">
        <v>2004</v>
      </c>
      <c r="B36" s="1">
        <v>11</v>
      </c>
      <c r="C36" s="1" t="s">
        <v>10</v>
      </c>
      <c r="D36" s="1">
        <v>63</v>
      </c>
      <c r="E36" s="1">
        <v>46</v>
      </c>
      <c r="F36" s="1">
        <v>17</v>
      </c>
      <c r="G36" s="1">
        <v>12</v>
      </c>
      <c r="H36" s="1">
        <v>17</v>
      </c>
      <c r="I36" s="1">
        <v>57</v>
      </c>
      <c r="J36" s="1">
        <v>59</v>
      </c>
      <c r="K36" s="1">
        <v>-2</v>
      </c>
      <c r="L36" s="1">
        <f t="shared" si="0"/>
        <v>1.1052631578947369</v>
      </c>
    </row>
    <row r="37" spans="1:12" x14ac:dyDescent="0.25">
      <c r="A37" s="1">
        <v>2004</v>
      </c>
      <c r="B37" s="1">
        <v>12</v>
      </c>
      <c r="C37" s="1" t="s">
        <v>4</v>
      </c>
      <c r="D37" s="1">
        <v>62</v>
      </c>
      <c r="E37" s="1">
        <v>46</v>
      </c>
      <c r="F37" s="1">
        <v>15</v>
      </c>
      <c r="G37" s="1">
        <v>17</v>
      </c>
      <c r="H37" s="1">
        <v>14</v>
      </c>
      <c r="I37" s="1">
        <v>53</v>
      </c>
      <c r="J37" s="1">
        <v>48</v>
      </c>
      <c r="K37" s="1">
        <v>5</v>
      </c>
      <c r="L37" s="1">
        <f t="shared" si="0"/>
        <v>1.1698113207547169</v>
      </c>
    </row>
    <row r="38" spans="1:12" x14ac:dyDescent="0.25">
      <c r="A38" s="1">
        <v>2004</v>
      </c>
      <c r="B38" s="1">
        <v>13</v>
      </c>
      <c r="C38" s="1" t="s">
        <v>0</v>
      </c>
      <c r="D38" s="1">
        <v>56</v>
      </c>
      <c r="E38" s="1">
        <v>46</v>
      </c>
      <c r="F38" s="1">
        <v>16</v>
      </c>
      <c r="G38" s="1">
        <v>8</v>
      </c>
      <c r="H38" s="1">
        <v>22</v>
      </c>
      <c r="I38" s="1">
        <v>69</v>
      </c>
      <c r="J38" s="1">
        <v>81</v>
      </c>
      <c r="K38" s="1">
        <v>-12</v>
      </c>
      <c r="L38" s="1">
        <f t="shared" si="0"/>
        <v>0.81159420289855078</v>
      </c>
    </row>
    <row r="39" spans="1:12" x14ac:dyDescent="0.25">
      <c r="A39" s="1">
        <v>2004</v>
      </c>
      <c r="B39" s="1">
        <v>14</v>
      </c>
      <c r="C39" s="1" t="s">
        <v>21</v>
      </c>
      <c r="D39" s="1">
        <v>56</v>
      </c>
      <c r="E39" s="1">
        <v>46</v>
      </c>
      <c r="F39" s="1">
        <v>14</v>
      </c>
      <c r="G39" s="1">
        <v>14</v>
      </c>
      <c r="H39" s="1">
        <v>18</v>
      </c>
      <c r="I39" s="1">
        <v>56</v>
      </c>
      <c r="J39" s="1">
        <v>76</v>
      </c>
      <c r="K39" s="1">
        <v>-20</v>
      </c>
      <c r="L39" s="1">
        <f t="shared" si="0"/>
        <v>1</v>
      </c>
    </row>
    <row r="40" spans="1:12" x14ac:dyDescent="0.25">
      <c r="A40" s="1">
        <v>2004</v>
      </c>
      <c r="B40" s="1">
        <v>15</v>
      </c>
      <c r="C40" s="1" t="s">
        <v>9</v>
      </c>
      <c r="D40" s="1">
        <v>54</v>
      </c>
      <c r="E40" s="1">
        <v>46</v>
      </c>
      <c r="F40" s="1">
        <v>15</v>
      </c>
      <c r="G40" s="1">
        <v>9</v>
      </c>
      <c r="H40" s="1">
        <v>22</v>
      </c>
      <c r="I40" s="1">
        <v>52</v>
      </c>
      <c r="J40" s="1">
        <v>73</v>
      </c>
      <c r="K40" s="1">
        <v>-21</v>
      </c>
      <c r="L40" s="1">
        <f t="shared" si="0"/>
        <v>1.0384615384615385</v>
      </c>
    </row>
    <row r="41" spans="1:12" x14ac:dyDescent="0.25">
      <c r="A41" s="1">
        <v>2004</v>
      </c>
      <c r="B41" s="1">
        <v>16</v>
      </c>
      <c r="C41" s="1" t="s">
        <v>16</v>
      </c>
      <c r="D41" s="1">
        <v>54</v>
      </c>
      <c r="E41" s="1">
        <v>46</v>
      </c>
      <c r="F41" s="1">
        <v>14</v>
      </c>
      <c r="G41" s="1">
        <v>12</v>
      </c>
      <c r="H41" s="1">
        <v>20</v>
      </c>
      <c r="I41" s="1">
        <v>64</v>
      </c>
      <c r="J41" s="1">
        <v>68</v>
      </c>
      <c r="K41" s="1">
        <v>-4</v>
      </c>
      <c r="L41" s="1">
        <f t="shared" si="0"/>
        <v>0.84375</v>
      </c>
    </row>
    <row r="42" spans="1:12" x14ac:dyDescent="0.25">
      <c r="A42" s="1">
        <v>2004</v>
      </c>
      <c r="B42" s="1">
        <v>17</v>
      </c>
      <c r="C42" s="1" t="s">
        <v>7</v>
      </c>
      <c r="D42" s="1">
        <v>54</v>
      </c>
      <c r="E42" s="1">
        <v>46</v>
      </c>
      <c r="F42" s="1">
        <v>13</v>
      </c>
      <c r="G42" s="1">
        <v>15</v>
      </c>
      <c r="H42" s="1">
        <v>18</v>
      </c>
      <c r="I42" s="1">
        <v>51</v>
      </c>
      <c r="J42" s="1">
        <v>53</v>
      </c>
      <c r="K42" s="1">
        <v>-2</v>
      </c>
      <c r="L42" s="1">
        <f t="shared" si="0"/>
        <v>1.0588235294117647</v>
      </c>
    </row>
    <row r="43" spans="1:12" x14ac:dyDescent="0.25">
      <c r="A43" s="1">
        <v>2004</v>
      </c>
      <c r="B43" s="1">
        <v>18</v>
      </c>
      <c r="C43" s="1" t="s">
        <v>3</v>
      </c>
      <c r="D43" s="1">
        <v>53</v>
      </c>
      <c r="E43" s="1">
        <v>46</v>
      </c>
      <c r="F43" s="1">
        <v>23</v>
      </c>
      <c r="G43" s="1">
        <v>8</v>
      </c>
      <c r="H43" s="1">
        <v>15</v>
      </c>
      <c r="I43" s="1">
        <v>65</v>
      </c>
      <c r="J43" s="1">
        <v>49</v>
      </c>
      <c r="K43" s="1">
        <v>16</v>
      </c>
      <c r="L43" s="1">
        <f t="shared" si="0"/>
        <v>0.81538461538461537</v>
      </c>
    </row>
    <row r="44" spans="1:12" x14ac:dyDescent="0.25">
      <c r="A44" s="1">
        <v>2004</v>
      </c>
      <c r="B44" s="1">
        <v>19</v>
      </c>
      <c r="C44" s="1" t="s">
        <v>5</v>
      </c>
      <c r="D44" s="1">
        <v>53</v>
      </c>
      <c r="E44" s="1">
        <v>46</v>
      </c>
      <c r="F44" s="1">
        <v>12</v>
      </c>
      <c r="G44" s="1">
        <v>17</v>
      </c>
      <c r="H44" s="1">
        <v>17</v>
      </c>
      <c r="I44" s="1">
        <v>60</v>
      </c>
      <c r="J44" s="1">
        <v>66</v>
      </c>
      <c r="K44" s="1">
        <v>-6</v>
      </c>
      <c r="L44" s="1">
        <f t="shared" si="0"/>
        <v>0.8833333333333333</v>
      </c>
    </row>
    <row r="45" spans="1:12" x14ac:dyDescent="0.25">
      <c r="A45" s="1">
        <v>2004</v>
      </c>
      <c r="B45" s="1">
        <v>20</v>
      </c>
      <c r="C45" s="1" t="s">
        <v>25</v>
      </c>
      <c r="D45" s="1">
        <v>51</v>
      </c>
      <c r="E45" s="1">
        <v>46</v>
      </c>
      <c r="F45" s="1">
        <v>11</v>
      </c>
      <c r="G45" s="1">
        <v>18</v>
      </c>
      <c r="H45" s="1">
        <v>17</v>
      </c>
      <c r="I45" s="1">
        <v>62</v>
      </c>
      <c r="J45" s="1">
        <v>71</v>
      </c>
      <c r="K45" s="1">
        <v>-9</v>
      </c>
      <c r="L45" s="1">
        <f t="shared" si="0"/>
        <v>0.82258064516129037</v>
      </c>
    </row>
    <row r="46" spans="1:12" x14ac:dyDescent="0.25">
      <c r="A46" s="1">
        <v>2004</v>
      </c>
      <c r="B46" s="1">
        <v>21</v>
      </c>
      <c r="C46" s="1" t="s">
        <v>13</v>
      </c>
      <c r="D46" s="1">
        <v>50</v>
      </c>
      <c r="E46" s="1">
        <v>46</v>
      </c>
      <c r="F46" s="1">
        <v>13</v>
      </c>
      <c r="G46" s="1">
        <v>11</v>
      </c>
      <c r="H46" s="1">
        <v>22</v>
      </c>
      <c r="I46" s="1">
        <v>61</v>
      </c>
      <c r="J46" s="1">
        <v>78</v>
      </c>
      <c r="K46" s="1">
        <v>-17</v>
      </c>
      <c r="L46" s="1">
        <f t="shared" si="0"/>
        <v>0.81967213114754101</v>
      </c>
    </row>
    <row r="47" spans="1:12" x14ac:dyDescent="0.25">
      <c r="A47" s="1">
        <v>2004</v>
      </c>
      <c r="B47" s="1">
        <v>22</v>
      </c>
      <c r="C47" s="1" t="s">
        <v>12</v>
      </c>
      <c r="D47" s="1">
        <v>49</v>
      </c>
      <c r="E47" s="1">
        <v>46</v>
      </c>
      <c r="F47" s="1">
        <v>11</v>
      </c>
      <c r="G47" s="1">
        <v>16</v>
      </c>
      <c r="H47" s="1">
        <v>19</v>
      </c>
      <c r="I47" s="1">
        <v>43</v>
      </c>
      <c r="J47" s="1">
        <v>55</v>
      </c>
      <c r="K47" s="1">
        <v>-12</v>
      </c>
      <c r="L47" s="1">
        <f t="shared" si="0"/>
        <v>1.1395348837209303</v>
      </c>
    </row>
    <row r="48" spans="1:12" x14ac:dyDescent="0.25">
      <c r="A48" s="1">
        <v>2004</v>
      </c>
      <c r="B48" s="1">
        <v>23</v>
      </c>
      <c r="C48" s="1" t="s">
        <v>15</v>
      </c>
      <c r="D48" s="1">
        <v>48</v>
      </c>
      <c r="E48" s="1">
        <v>46</v>
      </c>
      <c r="F48" s="1">
        <v>13</v>
      </c>
      <c r="G48" s="1">
        <v>9</v>
      </c>
      <c r="H48" s="1">
        <v>24</v>
      </c>
      <c r="I48" s="1">
        <v>68</v>
      </c>
      <c r="J48" s="1">
        <v>87</v>
      </c>
      <c r="K48" s="1">
        <v>-19</v>
      </c>
      <c r="L48" s="1">
        <f t="shared" si="0"/>
        <v>0.70588235294117652</v>
      </c>
    </row>
    <row r="49" spans="1:12" x14ac:dyDescent="0.25">
      <c r="A49" s="1">
        <v>2004</v>
      </c>
      <c r="B49" s="1">
        <v>24</v>
      </c>
      <c r="C49" s="1" t="s">
        <v>20</v>
      </c>
      <c r="D49" s="1">
        <v>39</v>
      </c>
      <c r="E49" s="1">
        <v>46</v>
      </c>
      <c r="F49" s="1">
        <v>9</v>
      </c>
      <c r="G49" s="1">
        <v>12</v>
      </c>
      <c r="H49" s="1">
        <v>25</v>
      </c>
      <c r="I49" s="1">
        <v>60</v>
      </c>
      <c r="J49" s="1">
        <v>80</v>
      </c>
      <c r="K49" s="1">
        <v>-20</v>
      </c>
      <c r="L49" s="1">
        <f t="shared" si="0"/>
        <v>0.65</v>
      </c>
    </row>
    <row r="50" spans="1:12" x14ac:dyDescent="0.25">
      <c r="A50" s="1">
        <v>2005</v>
      </c>
      <c r="B50" s="1">
        <v>1</v>
      </c>
      <c r="C50" s="1" t="s">
        <v>14</v>
      </c>
      <c r="D50" s="1">
        <v>81</v>
      </c>
      <c r="E50" s="1">
        <v>42</v>
      </c>
      <c r="F50" s="1">
        <v>24</v>
      </c>
      <c r="G50" s="1">
        <v>9</v>
      </c>
      <c r="H50" s="1">
        <v>9</v>
      </c>
      <c r="I50" s="1">
        <v>87</v>
      </c>
      <c r="J50" s="1">
        <v>59</v>
      </c>
      <c r="K50" s="1">
        <v>28</v>
      </c>
      <c r="L50" s="1">
        <f t="shared" si="0"/>
        <v>0.93103448275862066</v>
      </c>
    </row>
    <row r="51" spans="1:12" x14ac:dyDescent="0.25">
      <c r="A51" s="1">
        <v>2005</v>
      </c>
      <c r="B51" s="1">
        <v>2</v>
      </c>
      <c r="C51" s="1" t="s">
        <v>6</v>
      </c>
      <c r="D51" s="1">
        <v>78</v>
      </c>
      <c r="E51" s="1">
        <v>42</v>
      </c>
      <c r="F51" s="1">
        <v>23</v>
      </c>
      <c r="G51" s="1">
        <v>9</v>
      </c>
      <c r="H51" s="1">
        <v>10</v>
      </c>
      <c r="I51" s="1">
        <v>72</v>
      </c>
      <c r="J51" s="1">
        <v>49</v>
      </c>
      <c r="K51" s="1">
        <v>23</v>
      </c>
      <c r="L51" s="1">
        <f t="shared" si="0"/>
        <v>1.0833333333333333</v>
      </c>
    </row>
    <row r="52" spans="1:12" x14ac:dyDescent="0.25">
      <c r="A52" s="1">
        <v>2005</v>
      </c>
      <c r="B52" s="1">
        <v>3</v>
      </c>
      <c r="C52" s="1" t="s">
        <v>8</v>
      </c>
      <c r="D52" s="1">
        <v>74</v>
      </c>
      <c r="E52" s="1">
        <v>42</v>
      </c>
      <c r="F52" s="1">
        <v>22</v>
      </c>
      <c r="G52" s="1">
        <v>8</v>
      </c>
      <c r="H52" s="1">
        <v>12</v>
      </c>
      <c r="I52" s="1">
        <v>68</v>
      </c>
      <c r="J52" s="1">
        <v>51</v>
      </c>
      <c r="K52" s="1">
        <v>17</v>
      </c>
      <c r="L52" s="1">
        <f t="shared" si="0"/>
        <v>1.088235294117647</v>
      </c>
    </row>
    <row r="53" spans="1:12" x14ac:dyDescent="0.25">
      <c r="A53" s="1">
        <v>2005</v>
      </c>
      <c r="B53" s="1">
        <v>4</v>
      </c>
      <c r="C53" s="1" t="s">
        <v>24</v>
      </c>
      <c r="D53" s="1">
        <v>70</v>
      </c>
      <c r="E53" s="1">
        <v>42</v>
      </c>
      <c r="F53" s="1">
        <v>20</v>
      </c>
      <c r="G53" s="1">
        <v>10</v>
      </c>
      <c r="H53" s="1">
        <v>12</v>
      </c>
      <c r="I53" s="1">
        <v>81</v>
      </c>
      <c r="J53" s="1">
        <v>65</v>
      </c>
      <c r="K53" s="1">
        <v>16</v>
      </c>
      <c r="L53" s="1">
        <f t="shared" si="0"/>
        <v>0.86419753086419748</v>
      </c>
    </row>
    <row r="54" spans="1:12" x14ac:dyDescent="0.25">
      <c r="A54" s="1">
        <v>2005</v>
      </c>
      <c r="B54" s="1">
        <v>5</v>
      </c>
      <c r="C54" s="1" t="s">
        <v>18</v>
      </c>
      <c r="D54" s="1">
        <v>68</v>
      </c>
      <c r="E54" s="1">
        <v>42</v>
      </c>
      <c r="F54" s="1">
        <v>19</v>
      </c>
      <c r="G54" s="1">
        <v>11</v>
      </c>
      <c r="H54" s="1">
        <v>12</v>
      </c>
      <c r="I54" s="1">
        <v>79</v>
      </c>
      <c r="J54" s="1">
        <v>70</v>
      </c>
      <c r="K54" s="1">
        <v>9</v>
      </c>
      <c r="L54" s="1">
        <f t="shared" si="0"/>
        <v>0.86075949367088611</v>
      </c>
    </row>
    <row r="55" spans="1:12" x14ac:dyDescent="0.25">
      <c r="A55" s="1">
        <v>2005</v>
      </c>
      <c r="B55" s="1">
        <v>6</v>
      </c>
      <c r="C55" s="1" t="s">
        <v>11</v>
      </c>
      <c r="D55" s="1">
        <v>61</v>
      </c>
      <c r="E55" s="1">
        <v>42</v>
      </c>
      <c r="F55" s="1">
        <v>18</v>
      </c>
      <c r="G55" s="1">
        <v>7</v>
      </c>
      <c r="H55" s="1">
        <v>17</v>
      </c>
      <c r="I55" s="1">
        <v>76</v>
      </c>
      <c r="J55" s="1">
        <v>67</v>
      </c>
      <c r="K55" s="1">
        <v>9</v>
      </c>
      <c r="L55" s="1">
        <f t="shared" si="0"/>
        <v>0.80263157894736847</v>
      </c>
    </row>
    <row r="56" spans="1:12" x14ac:dyDescent="0.25">
      <c r="A56" s="1">
        <v>2005</v>
      </c>
      <c r="B56" s="1">
        <v>7</v>
      </c>
      <c r="C56" s="1" t="s">
        <v>9</v>
      </c>
      <c r="D56" s="1">
        <v>61</v>
      </c>
      <c r="E56" s="1">
        <v>42</v>
      </c>
      <c r="F56" s="1">
        <v>17</v>
      </c>
      <c r="G56" s="1">
        <v>10</v>
      </c>
      <c r="H56" s="1">
        <v>15</v>
      </c>
      <c r="I56" s="1">
        <v>59</v>
      </c>
      <c r="J56" s="1">
        <v>51</v>
      </c>
      <c r="K56" s="1">
        <v>8</v>
      </c>
      <c r="L56" s="1">
        <f t="shared" si="0"/>
        <v>1.0338983050847457</v>
      </c>
    </row>
    <row r="57" spans="1:12" x14ac:dyDescent="0.25">
      <c r="A57" s="1">
        <v>2005</v>
      </c>
      <c r="B57" s="1">
        <v>8</v>
      </c>
      <c r="C57" s="1" t="s">
        <v>0</v>
      </c>
      <c r="D57" s="1">
        <v>60</v>
      </c>
      <c r="E57" s="1">
        <v>42</v>
      </c>
      <c r="F57" s="1">
        <v>17</v>
      </c>
      <c r="G57" s="1">
        <v>9</v>
      </c>
      <c r="H57" s="1">
        <v>16</v>
      </c>
      <c r="I57" s="1">
        <v>73</v>
      </c>
      <c r="J57" s="1">
        <v>72</v>
      </c>
      <c r="K57" s="1">
        <v>1</v>
      </c>
      <c r="L57" s="1">
        <f t="shared" si="0"/>
        <v>0.82191780821917804</v>
      </c>
    </row>
    <row r="58" spans="1:12" x14ac:dyDescent="0.25">
      <c r="A58" s="1">
        <v>2005</v>
      </c>
      <c r="B58" s="1">
        <v>9</v>
      </c>
      <c r="C58" s="1" t="s">
        <v>25</v>
      </c>
      <c r="D58" s="1">
        <v>59</v>
      </c>
      <c r="E58" s="1">
        <v>42</v>
      </c>
      <c r="F58" s="1">
        <v>17</v>
      </c>
      <c r="G58" s="1">
        <v>8</v>
      </c>
      <c r="H58" s="1">
        <v>17</v>
      </c>
      <c r="I58" s="1">
        <v>57</v>
      </c>
      <c r="J58" s="1">
        <v>56</v>
      </c>
      <c r="K58" s="1">
        <v>1</v>
      </c>
      <c r="L58" s="1">
        <f t="shared" si="0"/>
        <v>1.0350877192982457</v>
      </c>
    </row>
    <row r="59" spans="1:12" x14ac:dyDescent="0.25">
      <c r="A59" s="1">
        <v>2005</v>
      </c>
      <c r="B59" s="1">
        <v>10</v>
      </c>
      <c r="C59" s="1" t="s">
        <v>1</v>
      </c>
      <c r="D59" s="1">
        <v>59</v>
      </c>
      <c r="E59" s="1">
        <v>42</v>
      </c>
      <c r="F59" s="1">
        <v>16</v>
      </c>
      <c r="G59" s="1">
        <v>11</v>
      </c>
      <c r="H59" s="1">
        <v>15</v>
      </c>
      <c r="I59" s="1">
        <v>68</v>
      </c>
      <c r="J59" s="1">
        <v>71</v>
      </c>
      <c r="K59" s="1">
        <v>-3</v>
      </c>
      <c r="L59" s="1">
        <f t="shared" si="0"/>
        <v>0.86764705882352944</v>
      </c>
    </row>
    <row r="60" spans="1:12" x14ac:dyDescent="0.25">
      <c r="A60" s="1">
        <v>2005</v>
      </c>
      <c r="B60" s="1">
        <v>11</v>
      </c>
      <c r="C60" s="1" t="s">
        <v>2</v>
      </c>
      <c r="D60" s="1">
        <v>58</v>
      </c>
      <c r="E60" s="1">
        <v>42</v>
      </c>
      <c r="F60" s="1">
        <v>16</v>
      </c>
      <c r="G60" s="1">
        <v>10</v>
      </c>
      <c r="H60" s="1">
        <v>16</v>
      </c>
      <c r="I60" s="1">
        <v>77</v>
      </c>
      <c r="J60" s="1">
        <v>67</v>
      </c>
      <c r="K60" s="1">
        <v>10</v>
      </c>
      <c r="L60" s="1">
        <f t="shared" si="0"/>
        <v>0.75324675324675328</v>
      </c>
    </row>
    <row r="61" spans="1:12" x14ac:dyDescent="0.25">
      <c r="A61" s="1">
        <v>2005</v>
      </c>
      <c r="B61" s="1">
        <v>12</v>
      </c>
      <c r="C61" s="1" t="s">
        <v>16</v>
      </c>
      <c r="D61" s="1">
        <v>56</v>
      </c>
      <c r="E61" s="1">
        <v>42</v>
      </c>
      <c r="F61" s="1">
        <v>15</v>
      </c>
      <c r="G61" s="1">
        <v>11</v>
      </c>
      <c r="H61" s="1">
        <v>16</v>
      </c>
      <c r="I61" s="1">
        <v>74</v>
      </c>
      <c r="J61" s="1">
        <v>84</v>
      </c>
      <c r="K61" s="1">
        <v>-10</v>
      </c>
      <c r="L61" s="1">
        <f t="shared" si="0"/>
        <v>0.7567567567567568</v>
      </c>
    </row>
    <row r="62" spans="1:12" x14ac:dyDescent="0.25">
      <c r="A62" s="1">
        <v>2005</v>
      </c>
      <c r="B62" s="1">
        <v>13</v>
      </c>
      <c r="C62" s="1" t="s">
        <v>22</v>
      </c>
      <c r="D62" s="1">
        <v>55</v>
      </c>
      <c r="E62" s="1">
        <v>42</v>
      </c>
      <c r="F62" s="1">
        <v>16</v>
      </c>
      <c r="G62" s="1">
        <v>7</v>
      </c>
      <c r="H62" s="1">
        <v>19</v>
      </c>
      <c r="I62" s="1">
        <v>58</v>
      </c>
      <c r="J62" s="1">
        <v>64</v>
      </c>
      <c r="K62" s="1">
        <v>-6</v>
      </c>
      <c r="L62" s="1">
        <f t="shared" si="0"/>
        <v>0.94827586206896552</v>
      </c>
    </row>
    <row r="63" spans="1:12" x14ac:dyDescent="0.25">
      <c r="A63" s="1">
        <v>2005</v>
      </c>
      <c r="B63" s="1">
        <v>14</v>
      </c>
      <c r="C63" s="1" t="s">
        <v>17</v>
      </c>
      <c r="D63" s="1">
        <v>55</v>
      </c>
      <c r="E63" s="1">
        <v>42</v>
      </c>
      <c r="F63" s="1">
        <v>15</v>
      </c>
      <c r="G63" s="1">
        <v>10</v>
      </c>
      <c r="H63" s="1">
        <v>17</v>
      </c>
      <c r="I63" s="1">
        <v>66</v>
      </c>
      <c r="J63" s="1">
        <v>72</v>
      </c>
      <c r="K63" s="1">
        <v>-6</v>
      </c>
      <c r="L63" s="1">
        <f t="shared" si="0"/>
        <v>0.83333333333333337</v>
      </c>
    </row>
    <row r="64" spans="1:12" x14ac:dyDescent="0.25">
      <c r="A64" s="1">
        <v>2005</v>
      </c>
      <c r="B64" s="1">
        <v>15</v>
      </c>
      <c r="C64" s="1" t="s">
        <v>7</v>
      </c>
      <c r="D64" s="1">
        <v>55</v>
      </c>
      <c r="E64" s="1">
        <v>42</v>
      </c>
      <c r="F64" s="1">
        <v>14</v>
      </c>
      <c r="G64" s="1">
        <v>13</v>
      </c>
      <c r="H64" s="1">
        <v>15</v>
      </c>
      <c r="I64" s="1">
        <v>56</v>
      </c>
      <c r="J64" s="1">
        <v>60</v>
      </c>
      <c r="K64" s="1">
        <v>-4</v>
      </c>
      <c r="L64" s="1">
        <f t="shared" si="0"/>
        <v>0.9821428571428571</v>
      </c>
    </row>
    <row r="65" spans="1:12" x14ac:dyDescent="0.25">
      <c r="A65" s="1">
        <v>2005</v>
      </c>
      <c r="B65" s="1">
        <v>16</v>
      </c>
      <c r="C65" s="1" t="s">
        <v>10</v>
      </c>
      <c r="D65" s="1">
        <v>53</v>
      </c>
      <c r="E65" s="1">
        <v>42</v>
      </c>
      <c r="F65" s="1">
        <v>14</v>
      </c>
      <c r="G65" s="1">
        <v>11</v>
      </c>
      <c r="H65" s="1">
        <v>17</v>
      </c>
      <c r="I65" s="1">
        <v>65</v>
      </c>
      <c r="J65" s="1">
        <v>72</v>
      </c>
      <c r="K65" s="1">
        <v>-7</v>
      </c>
      <c r="L65" s="1">
        <f t="shared" si="0"/>
        <v>0.81538461538461537</v>
      </c>
    </row>
    <row r="66" spans="1:12" x14ac:dyDescent="0.25">
      <c r="A66" s="1">
        <v>2005</v>
      </c>
      <c r="B66" s="1">
        <v>17</v>
      </c>
      <c r="C66" s="1" t="s">
        <v>3</v>
      </c>
      <c r="D66" s="1">
        <v>52</v>
      </c>
      <c r="E66" s="1">
        <v>42</v>
      </c>
      <c r="F66" s="1">
        <v>14</v>
      </c>
      <c r="G66" s="1">
        <v>10</v>
      </c>
      <c r="H66" s="1">
        <v>18</v>
      </c>
      <c r="I66" s="1">
        <v>54</v>
      </c>
      <c r="J66" s="1">
        <v>60</v>
      </c>
      <c r="K66" s="1">
        <v>-6</v>
      </c>
      <c r="L66" s="1">
        <f t="shared" si="0"/>
        <v>0.96296296296296291</v>
      </c>
    </row>
    <row r="67" spans="1:12" x14ac:dyDescent="0.25">
      <c r="A67" s="1">
        <v>2005</v>
      </c>
      <c r="B67" s="1">
        <v>18</v>
      </c>
      <c r="C67" s="1" t="s">
        <v>19</v>
      </c>
      <c r="D67" s="1">
        <v>51</v>
      </c>
      <c r="E67" s="1">
        <v>42</v>
      </c>
      <c r="F67" s="1">
        <v>15</v>
      </c>
      <c r="G67" s="1">
        <v>6</v>
      </c>
      <c r="H67" s="1">
        <v>21</v>
      </c>
      <c r="I67" s="1">
        <v>63</v>
      </c>
      <c r="J67" s="1">
        <v>80</v>
      </c>
      <c r="K67" s="1">
        <v>-17</v>
      </c>
      <c r="L67" s="1">
        <f t="shared" ref="L67:L130" si="1">D67/I67</f>
        <v>0.80952380952380953</v>
      </c>
    </row>
    <row r="68" spans="1:12" x14ac:dyDescent="0.25">
      <c r="A68" s="1">
        <v>2005</v>
      </c>
      <c r="B68" s="1">
        <v>19</v>
      </c>
      <c r="C68" s="1" t="s">
        <v>4</v>
      </c>
      <c r="D68" s="1">
        <v>49</v>
      </c>
      <c r="E68" s="1">
        <v>42</v>
      </c>
      <c r="F68" s="1">
        <v>13</v>
      </c>
      <c r="G68" s="1">
        <v>10</v>
      </c>
      <c r="H68" s="1">
        <v>19</v>
      </c>
      <c r="I68" s="1">
        <v>51</v>
      </c>
      <c r="J68" s="1">
        <v>60</v>
      </c>
      <c r="K68" s="1">
        <v>-9</v>
      </c>
      <c r="L68" s="1">
        <f t="shared" si="1"/>
        <v>0.96078431372549022</v>
      </c>
    </row>
    <row r="69" spans="1:12" x14ac:dyDescent="0.25">
      <c r="A69" s="1">
        <v>2005</v>
      </c>
      <c r="B69" s="1">
        <v>20</v>
      </c>
      <c r="C69" s="1" t="s">
        <v>5</v>
      </c>
      <c r="D69" s="1">
        <v>47</v>
      </c>
      <c r="E69" s="1">
        <v>42</v>
      </c>
      <c r="F69" s="1">
        <v>13</v>
      </c>
      <c r="G69" s="1">
        <v>8</v>
      </c>
      <c r="H69" s="1">
        <v>21</v>
      </c>
      <c r="I69" s="1">
        <v>54</v>
      </c>
      <c r="J69" s="1">
        <v>59</v>
      </c>
      <c r="K69" s="1">
        <v>-5</v>
      </c>
      <c r="L69" s="1">
        <f t="shared" si="1"/>
        <v>0.87037037037037035</v>
      </c>
    </row>
    <row r="70" spans="1:12" x14ac:dyDescent="0.25">
      <c r="A70" s="1">
        <v>2005</v>
      </c>
      <c r="B70" s="1">
        <v>21</v>
      </c>
      <c r="C70" s="1" t="s">
        <v>21</v>
      </c>
      <c r="D70" s="1">
        <v>41</v>
      </c>
      <c r="E70" s="1">
        <v>42</v>
      </c>
      <c r="F70" s="1">
        <v>12</v>
      </c>
      <c r="G70" s="1">
        <v>5</v>
      </c>
      <c r="H70" s="1">
        <v>25</v>
      </c>
      <c r="I70" s="1">
        <v>63</v>
      </c>
      <c r="J70" s="1">
        <v>92</v>
      </c>
      <c r="K70" s="1">
        <v>-29</v>
      </c>
      <c r="L70" s="1">
        <f t="shared" si="1"/>
        <v>0.65079365079365081</v>
      </c>
    </row>
    <row r="71" spans="1:12" x14ac:dyDescent="0.25">
      <c r="A71" s="1">
        <v>2005</v>
      </c>
      <c r="B71" s="1">
        <v>22</v>
      </c>
      <c r="C71" s="1" t="s">
        <v>26</v>
      </c>
      <c r="D71" s="1">
        <v>41</v>
      </c>
      <c r="E71" s="1">
        <v>42</v>
      </c>
      <c r="F71" s="1">
        <v>10</v>
      </c>
      <c r="G71" s="1">
        <v>11</v>
      </c>
      <c r="H71" s="1">
        <v>21</v>
      </c>
      <c r="I71" s="1">
        <v>47</v>
      </c>
      <c r="J71" s="1">
        <v>67</v>
      </c>
      <c r="K71" s="1">
        <v>-20</v>
      </c>
      <c r="L71" s="1">
        <f t="shared" si="1"/>
        <v>0.87234042553191493</v>
      </c>
    </row>
    <row r="72" spans="1:12" x14ac:dyDescent="0.25">
      <c r="A72" s="1">
        <v>2006</v>
      </c>
      <c r="B72" s="1">
        <v>1</v>
      </c>
      <c r="C72" s="1" t="s">
        <v>2</v>
      </c>
      <c r="D72" s="1">
        <v>78</v>
      </c>
      <c r="E72" s="1">
        <v>38</v>
      </c>
      <c r="F72" s="1">
        <v>22</v>
      </c>
      <c r="G72" s="1">
        <v>12</v>
      </c>
      <c r="H72" s="1">
        <v>4</v>
      </c>
      <c r="I72" s="1">
        <v>66</v>
      </c>
      <c r="J72" s="1">
        <v>32</v>
      </c>
      <c r="K72" s="1">
        <v>34</v>
      </c>
      <c r="L72" s="1">
        <f t="shared" si="1"/>
        <v>1.1818181818181819</v>
      </c>
    </row>
    <row r="73" spans="1:12" x14ac:dyDescent="0.25">
      <c r="A73" s="1">
        <v>2006</v>
      </c>
      <c r="B73" s="1">
        <v>2</v>
      </c>
      <c r="C73" s="1" t="s">
        <v>6</v>
      </c>
      <c r="D73" s="1">
        <v>69</v>
      </c>
      <c r="E73" s="1">
        <v>38</v>
      </c>
      <c r="F73" s="1">
        <v>20</v>
      </c>
      <c r="G73" s="1">
        <v>9</v>
      </c>
      <c r="H73" s="1">
        <v>9</v>
      </c>
      <c r="I73" s="1">
        <v>52</v>
      </c>
      <c r="J73" s="1">
        <v>36</v>
      </c>
      <c r="K73" s="1">
        <v>16</v>
      </c>
      <c r="L73" s="1">
        <f t="shared" si="1"/>
        <v>1.3269230769230769</v>
      </c>
    </row>
    <row r="74" spans="1:12" x14ac:dyDescent="0.25">
      <c r="A74" s="1">
        <v>2006</v>
      </c>
      <c r="B74" s="1">
        <v>3</v>
      </c>
      <c r="C74" s="1" t="s">
        <v>20</v>
      </c>
      <c r="D74" s="1">
        <v>67</v>
      </c>
      <c r="E74" s="1">
        <v>38</v>
      </c>
      <c r="F74" s="1">
        <v>20</v>
      </c>
      <c r="G74" s="1">
        <v>7</v>
      </c>
      <c r="H74" s="1">
        <v>11</v>
      </c>
      <c r="I74" s="1">
        <v>64</v>
      </c>
      <c r="J74" s="1">
        <v>45</v>
      </c>
      <c r="K74" s="1">
        <v>19</v>
      </c>
      <c r="L74" s="1">
        <f t="shared" si="1"/>
        <v>1.046875</v>
      </c>
    </row>
    <row r="75" spans="1:12" x14ac:dyDescent="0.25">
      <c r="A75" s="1">
        <v>2006</v>
      </c>
      <c r="B75" s="1">
        <v>4</v>
      </c>
      <c r="C75" s="1" t="s">
        <v>1</v>
      </c>
      <c r="D75" s="1">
        <v>64</v>
      </c>
      <c r="E75" s="1">
        <v>38</v>
      </c>
      <c r="F75" s="1">
        <v>18</v>
      </c>
      <c r="G75" s="1">
        <v>10</v>
      </c>
      <c r="H75" s="1">
        <v>10</v>
      </c>
      <c r="I75" s="1">
        <v>58</v>
      </c>
      <c r="J75" s="1">
        <v>36</v>
      </c>
      <c r="K75" s="1">
        <v>22</v>
      </c>
      <c r="L75" s="1">
        <f t="shared" si="1"/>
        <v>1.103448275862069</v>
      </c>
    </row>
    <row r="76" spans="1:12" x14ac:dyDescent="0.25">
      <c r="A76" s="1">
        <v>2006</v>
      </c>
      <c r="B76" s="1">
        <v>5</v>
      </c>
      <c r="C76" s="1" t="s">
        <v>9</v>
      </c>
      <c r="D76" s="1">
        <v>60</v>
      </c>
      <c r="E76" s="1">
        <v>38</v>
      </c>
      <c r="F76" s="1">
        <v>18</v>
      </c>
      <c r="G76" s="1">
        <v>6</v>
      </c>
      <c r="H76" s="1">
        <v>14</v>
      </c>
      <c r="I76" s="1">
        <v>56</v>
      </c>
      <c r="J76" s="1">
        <v>49</v>
      </c>
      <c r="K76" s="1">
        <v>7</v>
      </c>
      <c r="L76" s="1">
        <f t="shared" si="1"/>
        <v>1.0714285714285714</v>
      </c>
    </row>
    <row r="77" spans="1:12" x14ac:dyDescent="0.25">
      <c r="A77" s="1">
        <v>2006</v>
      </c>
      <c r="B77" s="1">
        <v>6</v>
      </c>
      <c r="C77" s="1" t="s">
        <v>16</v>
      </c>
      <c r="D77" s="1">
        <v>59</v>
      </c>
      <c r="E77" s="1">
        <v>38</v>
      </c>
      <c r="F77" s="1">
        <v>15</v>
      </c>
      <c r="G77" s="1">
        <v>14</v>
      </c>
      <c r="H77" s="1">
        <v>9</v>
      </c>
      <c r="I77" s="1">
        <v>57</v>
      </c>
      <c r="J77" s="1">
        <v>50</v>
      </c>
      <c r="K77" s="1">
        <v>7</v>
      </c>
      <c r="L77" s="1">
        <f t="shared" si="1"/>
        <v>1.0350877192982457</v>
      </c>
    </row>
    <row r="78" spans="1:12" x14ac:dyDescent="0.25">
      <c r="A78" s="1">
        <v>2006</v>
      </c>
      <c r="B78" s="1">
        <v>7</v>
      </c>
      <c r="C78" s="1" t="s">
        <v>10</v>
      </c>
      <c r="D78" s="1">
        <v>57</v>
      </c>
      <c r="E78" s="1">
        <v>38</v>
      </c>
      <c r="F78" s="1">
        <v>15</v>
      </c>
      <c r="G78" s="1">
        <v>12</v>
      </c>
      <c r="H78" s="1">
        <v>11</v>
      </c>
      <c r="I78" s="1">
        <v>52</v>
      </c>
      <c r="J78" s="1">
        <v>44</v>
      </c>
      <c r="K78" s="1">
        <v>8</v>
      </c>
      <c r="L78" s="1">
        <f t="shared" si="1"/>
        <v>1.0961538461538463</v>
      </c>
    </row>
    <row r="79" spans="1:12" x14ac:dyDescent="0.25">
      <c r="A79" s="1">
        <v>2006</v>
      </c>
      <c r="B79" s="1">
        <v>8</v>
      </c>
      <c r="C79" s="1" t="s">
        <v>8</v>
      </c>
      <c r="D79" s="1">
        <v>55</v>
      </c>
      <c r="E79" s="1">
        <v>38</v>
      </c>
      <c r="F79" s="1">
        <v>15</v>
      </c>
      <c r="G79" s="1">
        <v>10</v>
      </c>
      <c r="H79" s="1">
        <v>13</v>
      </c>
      <c r="I79" s="1">
        <v>63</v>
      </c>
      <c r="J79" s="1">
        <v>49</v>
      </c>
      <c r="K79" s="1">
        <v>14</v>
      </c>
      <c r="L79" s="1">
        <f t="shared" si="1"/>
        <v>0.87301587301587302</v>
      </c>
    </row>
    <row r="80" spans="1:12" x14ac:dyDescent="0.25">
      <c r="A80" s="1">
        <v>2006</v>
      </c>
      <c r="B80" s="1">
        <v>9</v>
      </c>
      <c r="C80" s="1" t="s">
        <v>14</v>
      </c>
      <c r="D80" s="1">
        <v>53</v>
      </c>
      <c r="E80" s="1">
        <v>38</v>
      </c>
      <c r="F80" s="1">
        <v>15</v>
      </c>
      <c r="G80" s="1">
        <v>8</v>
      </c>
      <c r="H80" s="1">
        <v>15</v>
      </c>
      <c r="I80" s="1">
        <v>41</v>
      </c>
      <c r="J80" s="1">
        <v>46</v>
      </c>
      <c r="K80" s="1">
        <v>-5</v>
      </c>
      <c r="L80" s="1">
        <f t="shared" si="1"/>
        <v>1.2926829268292683</v>
      </c>
    </row>
    <row r="81" spans="1:12" x14ac:dyDescent="0.25">
      <c r="A81" s="1">
        <v>2006</v>
      </c>
      <c r="B81" s="1">
        <v>10</v>
      </c>
      <c r="C81" s="1" t="s">
        <v>0</v>
      </c>
      <c r="D81" s="1">
        <v>53</v>
      </c>
      <c r="E81" s="1">
        <v>38</v>
      </c>
      <c r="F81" s="1">
        <v>14</v>
      </c>
      <c r="G81" s="1">
        <v>11</v>
      </c>
      <c r="H81" s="1">
        <v>13</v>
      </c>
      <c r="I81" s="1">
        <v>52</v>
      </c>
      <c r="J81" s="1">
        <v>45</v>
      </c>
      <c r="K81" s="1">
        <v>7</v>
      </c>
      <c r="L81" s="1">
        <f t="shared" si="1"/>
        <v>1.0192307692307692</v>
      </c>
    </row>
    <row r="82" spans="1:12" x14ac:dyDescent="0.25">
      <c r="A82" s="1">
        <v>2006</v>
      </c>
      <c r="B82" s="1">
        <v>11</v>
      </c>
      <c r="C82" s="1" t="s">
        <v>7</v>
      </c>
      <c r="D82" s="1">
        <v>52</v>
      </c>
      <c r="E82" s="1">
        <v>38</v>
      </c>
      <c r="F82" s="1">
        <v>15</v>
      </c>
      <c r="G82" s="1">
        <v>7</v>
      </c>
      <c r="H82" s="1">
        <v>16</v>
      </c>
      <c r="I82" s="1">
        <v>44</v>
      </c>
      <c r="J82" s="1">
        <v>48</v>
      </c>
      <c r="K82" s="1">
        <v>-4</v>
      </c>
      <c r="L82" s="1">
        <f t="shared" si="1"/>
        <v>1.1818181818181819</v>
      </c>
    </row>
    <row r="83" spans="1:12" x14ac:dyDescent="0.25">
      <c r="A83" s="1">
        <v>2006</v>
      </c>
      <c r="B83" s="1">
        <v>12</v>
      </c>
      <c r="C83" s="1" t="s">
        <v>25</v>
      </c>
      <c r="D83" s="1">
        <v>51</v>
      </c>
      <c r="E83" s="1">
        <v>38</v>
      </c>
      <c r="F83" s="1">
        <v>13</v>
      </c>
      <c r="G83" s="1">
        <v>12</v>
      </c>
      <c r="H83" s="1">
        <v>13</v>
      </c>
      <c r="I83" s="1">
        <v>52</v>
      </c>
      <c r="J83" s="1">
        <v>50</v>
      </c>
      <c r="K83" s="1">
        <v>2</v>
      </c>
      <c r="L83" s="1">
        <f t="shared" si="1"/>
        <v>0.98076923076923073</v>
      </c>
    </row>
    <row r="84" spans="1:12" x14ac:dyDescent="0.25">
      <c r="A84" s="1">
        <v>2006</v>
      </c>
      <c r="B84" s="1">
        <v>13</v>
      </c>
      <c r="C84" s="1" t="s">
        <v>11</v>
      </c>
      <c r="D84" s="1">
        <v>48</v>
      </c>
      <c r="E84" s="1">
        <v>38</v>
      </c>
      <c r="F84" s="1">
        <v>13</v>
      </c>
      <c r="G84" s="1">
        <v>9</v>
      </c>
      <c r="H84" s="1">
        <v>16</v>
      </c>
      <c r="I84" s="1">
        <v>61</v>
      </c>
      <c r="J84" s="1">
        <v>62</v>
      </c>
      <c r="K84" s="1">
        <v>-1</v>
      </c>
      <c r="L84" s="1">
        <f t="shared" si="1"/>
        <v>0.78688524590163933</v>
      </c>
    </row>
    <row r="85" spans="1:12" x14ac:dyDescent="0.25">
      <c r="A85" s="1">
        <v>2006</v>
      </c>
      <c r="B85" s="1">
        <v>14</v>
      </c>
      <c r="C85" s="1" t="s">
        <v>17</v>
      </c>
      <c r="D85" s="1">
        <v>47</v>
      </c>
      <c r="E85" s="1">
        <v>38</v>
      </c>
      <c r="F85" s="1">
        <v>13</v>
      </c>
      <c r="G85" s="1">
        <v>8</v>
      </c>
      <c r="H85" s="1">
        <v>17</v>
      </c>
      <c r="I85" s="1">
        <v>44</v>
      </c>
      <c r="J85" s="1">
        <v>54</v>
      </c>
      <c r="K85" s="1">
        <v>-10</v>
      </c>
      <c r="L85" s="1">
        <f t="shared" si="1"/>
        <v>1.0681818181818181</v>
      </c>
    </row>
    <row r="86" spans="1:12" x14ac:dyDescent="0.25">
      <c r="A86" s="1">
        <v>2006</v>
      </c>
      <c r="B86" s="1">
        <v>15</v>
      </c>
      <c r="C86" s="1" t="s">
        <v>18</v>
      </c>
      <c r="D86" s="1">
        <v>45</v>
      </c>
      <c r="E86" s="1">
        <v>38</v>
      </c>
      <c r="F86" s="1">
        <v>11</v>
      </c>
      <c r="G86" s="1">
        <v>12</v>
      </c>
      <c r="H86" s="1">
        <v>15</v>
      </c>
      <c r="I86" s="1">
        <v>48</v>
      </c>
      <c r="J86" s="1">
        <v>58</v>
      </c>
      <c r="K86" s="1">
        <v>-10</v>
      </c>
      <c r="L86" s="1">
        <f t="shared" si="1"/>
        <v>0.9375</v>
      </c>
    </row>
    <row r="87" spans="1:12" x14ac:dyDescent="0.25">
      <c r="A87" s="1">
        <v>2006</v>
      </c>
      <c r="B87" s="1">
        <v>16</v>
      </c>
      <c r="C87" s="1" t="s">
        <v>24</v>
      </c>
      <c r="D87" s="1">
        <v>44</v>
      </c>
      <c r="E87" s="1">
        <v>38</v>
      </c>
      <c r="F87" s="1">
        <v>12</v>
      </c>
      <c r="G87" s="1">
        <v>8</v>
      </c>
      <c r="H87" s="1">
        <v>18</v>
      </c>
      <c r="I87" s="1">
        <v>58</v>
      </c>
      <c r="J87" s="1">
        <v>70</v>
      </c>
      <c r="K87" s="1">
        <v>-12</v>
      </c>
      <c r="L87" s="1">
        <f t="shared" si="1"/>
        <v>0.75862068965517238</v>
      </c>
    </row>
    <row r="88" spans="1:12" x14ac:dyDescent="0.25">
      <c r="A88" s="1">
        <v>2006</v>
      </c>
      <c r="B88" s="1">
        <v>17</v>
      </c>
      <c r="C88" s="1" t="s">
        <v>19</v>
      </c>
      <c r="D88" s="1">
        <v>39</v>
      </c>
      <c r="E88" s="1">
        <v>38</v>
      </c>
      <c r="F88" s="1">
        <v>10</v>
      </c>
      <c r="G88" s="1">
        <v>9</v>
      </c>
      <c r="H88" s="1">
        <v>19</v>
      </c>
      <c r="I88" s="1">
        <v>45</v>
      </c>
      <c r="J88" s="1">
        <v>65</v>
      </c>
      <c r="K88" s="1">
        <v>-20</v>
      </c>
      <c r="L88" s="1">
        <f t="shared" si="1"/>
        <v>0.8666666666666667</v>
      </c>
    </row>
    <row r="89" spans="1:12" x14ac:dyDescent="0.25">
      <c r="A89" s="1">
        <v>2006</v>
      </c>
      <c r="B89" s="1">
        <v>18</v>
      </c>
      <c r="C89" s="1" t="s">
        <v>22</v>
      </c>
      <c r="D89" s="1">
        <v>38</v>
      </c>
      <c r="E89" s="1">
        <v>38</v>
      </c>
      <c r="F89" s="1">
        <v>8</v>
      </c>
      <c r="G89" s="1">
        <v>14</v>
      </c>
      <c r="H89" s="1">
        <v>16</v>
      </c>
      <c r="I89" s="1">
        <v>39</v>
      </c>
      <c r="J89" s="1">
        <v>62</v>
      </c>
      <c r="K89" s="1">
        <v>-23</v>
      </c>
      <c r="L89" s="1">
        <f t="shared" si="1"/>
        <v>0.97435897435897434</v>
      </c>
    </row>
    <row r="90" spans="1:12" x14ac:dyDescent="0.25">
      <c r="A90" s="1">
        <v>2006</v>
      </c>
      <c r="B90" s="1">
        <v>19</v>
      </c>
      <c r="C90" s="1" t="s">
        <v>3</v>
      </c>
      <c r="D90" s="1">
        <v>36</v>
      </c>
      <c r="E90" s="1">
        <v>38</v>
      </c>
      <c r="F90" s="1">
        <v>9</v>
      </c>
      <c r="G90" s="1">
        <v>9</v>
      </c>
      <c r="H90" s="1">
        <v>20</v>
      </c>
      <c r="I90" s="1">
        <v>37</v>
      </c>
      <c r="J90" s="1">
        <v>53</v>
      </c>
      <c r="K90" s="1">
        <v>-16</v>
      </c>
      <c r="L90" s="1">
        <f t="shared" si="1"/>
        <v>0.97297297297297303</v>
      </c>
    </row>
    <row r="91" spans="1:12" x14ac:dyDescent="0.25">
      <c r="A91" s="1">
        <v>2006</v>
      </c>
      <c r="B91" s="1">
        <v>20</v>
      </c>
      <c r="C91" s="1" t="s">
        <v>27</v>
      </c>
      <c r="D91" s="1">
        <v>28</v>
      </c>
      <c r="E91" s="1">
        <v>38</v>
      </c>
      <c r="F91" s="1">
        <v>7</v>
      </c>
      <c r="G91" s="1">
        <v>7</v>
      </c>
      <c r="H91" s="1">
        <v>24</v>
      </c>
      <c r="I91" s="1">
        <v>41</v>
      </c>
      <c r="J91" s="1">
        <v>76</v>
      </c>
      <c r="K91" s="1">
        <v>-35</v>
      </c>
      <c r="L91" s="1">
        <f t="shared" si="1"/>
        <v>0.68292682926829273</v>
      </c>
    </row>
    <row r="92" spans="1:12" x14ac:dyDescent="0.25">
      <c r="A92" s="1">
        <v>2007</v>
      </c>
      <c r="B92" s="1">
        <v>1</v>
      </c>
      <c r="C92" s="1" t="s">
        <v>2</v>
      </c>
      <c r="D92" s="1">
        <v>77</v>
      </c>
      <c r="E92" s="1">
        <v>38</v>
      </c>
      <c r="F92" s="1">
        <v>23</v>
      </c>
      <c r="G92" s="1">
        <v>8</v>
      </c>
      <c r="H92" s="1">
        <v>7</v>
      </c>
      <c r="I92" s="1">
        <v>55</v>
      </c>
      <c r="J92" s="1">
        <v>19</v>
      </c>
      <c r="K92" s="1">
        <v>36</v>
      </c>
      <c r="L92" s="1">
        <f t="shared" si="1"/>
        <v>1.4</v>
      </c>
    </row>
    <row r="93" spans="1:12" x14ac:dyDescent="0.25">
      <c r="A93" s="1">
        <v>2007</v>
      </c>
      <c r="B93" s="1">
        <v>2</v>
      </c>
      <c r="C93" s="1" t="s">
        <v>1</v>
      </c>
      <c r="D93" s="1">
        <v>62</v>
      </c>
      <c r="E93" s="1">
        <v>38</v>
      </c>
      <c r="F93" s="1">
        <v>19</v>
      </c>
      <c r="G93" s="1">
        <v>5</v>
      </c>
      <c r="H93" s="1">
        <v>14</v>
      </c>
      <c r="I93" s="1">
        <v>57</v>
      </c>
      <c r="J93" s="1">
        <v>47</v>
      </c>
      <c r="K93" s="1">
        <v>10</v>
      </c>
      <c r="L93" s="1">
        <f t="shared" si="1"/>
        <v>1.0877192982456141</v>
      </c>
    </row>
    <row r="94" spans="1:12" x14ac:dyDescent="0.25">
      <c r="A94" s="1">
        <v>2007</v>
      </c>
      <c r="B94" s="1">
        <v>3</v>
      </c>
      <c r="C94" s="1" t="s">
        <v>7</v>
      </c>
      <c r="D94" s="1">
        <v>61</v>
      </c>
      <c r="E94" s="1">
        <v>38</v>
      </c>
      <c r="F94" s="1">
        <v>17</v>
      </c>
      <c r="G94" s="1">
        <v>10</v>
      </c>
      <c r="H94" s="1">
        <v>11</v>
      </c>
      <c r="I94" s="1">
        <v>55</v>
      </c>
      <c r="J94" s="1">
        <v>49</v>
      </c>
      <c r="K94" s="1">
        <v>6</v>
      </c>
      <c r="L94" s="1">
        <f t="shared" si="1"/>
        <v>1.1090909090909091</v>
      </c>
    </row>
    <row r="95" spans="1:12" x14ac:dyDescent="0.25">
      <c r="A95" s="1">
        <v>2007</v>
      </c>
      <c r="B95" s="1">
        <v>4</v>
      </c>
      <c r="C95" s="1" t="s">
        <v>18</v>
      </c>
      <c r="D95" s="1">
        <v>61</v>
      </c>
      <c r="E95" s="1">
        <v>38</v>
      </c>
      <c r="F95" s="1">
        <v>16</v>
      </c>
      <c r="G95" s="1">
        <v>13</v>
      </c>
      <c r="H95" s="1">
        <v>9</v>
      </c>
      <c r="I95" s="1">
        <v>57</v>
      </c>
      <c r="J95" s="1">
        <v>39</v>
      </c>
      <c r="K95" s="1">
        <v>18</v>
      </c>
      <c r="L95" s="1">
        <f t="shared" si="1"/>
        <v>1.0701754385964912</v>
      </c>
    </row>
    <row r="96" spans="1:12" x14ac:dyDescent="0.25">
      <c r="A96" s="1">
        <v>2007</v>
      </c>
      <c r="B96" s="1">
        <v>5</v>
      </c>
      <c r="C96" s="1" t="s">
        <v>0</v>
      </c>
      <c r="D96" s="1">
        <v>60</v>
      </c>
      <c r="E96" s="1">
        <v>38</v>
      </c>
      <c r="F96" s="1">
        <v>18</v>
      </c>
      <c r="G96" s="1">
        <v>6</v>
      </c>
      <c r="H96" s="1">
        <v>14</v>
      </c>
      <c r="I96" s="1">
        <v>73</v>
      </c>
      <c r="J96" s="1">
        <v>58</v>
      </c>
      <c r="K96" s="1">
        <v>15</v>
      </c>
      <c r="L96" s="1">
        <f t="shared" si="1"/>
        <v>0.82191780821917804</v>
      </c>
    </row>
    <row r="97" spans="1:12" x14ac:dyDescent="0.25">
      <c r="A97" s="1">
        <v>2007</v>
      </c>
      <c r="B97" s="1">
        <v>6</v>
      </c>
      <c r="C97" s="1" t="s">
        <v>20</v>
      </c>
      <c r="D97" s="1">
        <v>58</v>
      </c>
      <c r="E97" s="1">
        <v>38</v>
      </c>
      <c r="F97" s="1">
        <v>17</v>
      </c>
      <c r="G97" s="1">
        <v>7</v>
      </c>
      <c r="H97" s="1">
        <v>14</v>
      </c>
      <c r="I97" s="1">
        <v>44</v>
      </c>
      <c r="J97" s="1">
        <v>43</v>
      </c>
      <c r="K97" s="1">
        <v>1</v>
      </c>
      <c r="L97" s="1">
        <f t="shared" si="1"/>
        <v>1.3181818181818181</v>
      </c>
    </row>
    <row r="98" spans="1:12" x14ac:dyDescent="0.25">
      <c r="A98" s="1">
        <v>2007</v>
      </c>
      <c r="B98" s="1">
        <v>7</v>
      </c>
      <c r="C98" s="1" t="s">
        <v>24</v>
      </c>
      <c r="D98" s="1">
        <v>58</v>
      </c>
      <c r="E98" s="1">
        <v>38</v>
      </c>
      <c r="F98" s="1">
        <v>16</v>
      </c>
      <c r="G98" s="1">
        <v>10</v>
      </c>
      <c r="H98" s="1">
        <v>12</v>
      </c>
      <c r="I98" s="1">
        <v>48</v>
      </c>
      <c r="J98" s="1">
        <v>47</v>
      </c>
      <c r="K98" s="1">
        <v>1</v>
      </c>
      <c r="L98" s="1">
        <f t="shared" si="1"/>
        <v>1.2083333333333333</v>
      </c>
    </row>
    <row r="99" spans="1:12" x14ac:dyDescent="0.25">
      <c r="A99" s="1">
        <v>2007</v>
      </c>
      <c r="B99" s="1">
        <v>8</v>
      </c>
      <c r="C99" s="1" t="s">
        <v>5</v>
      </c>
      <c r="D99" s="1">
        <v>55</v>
      </c>
      <c r="E99" s="1">
        <v>38</v>
      </c>
      <c r="F99" s="1">
        <v>15</v>
      </c>
      <c r="G99" s="1">
        <v>10</v>
      </c>
      <c r="H99" s="1">
        <v>13</v>
      </c>
      <c r="I99" s="1">
        <v>63</v>
      </c>
      <c r="J99" s="1">
        <v>51</v>
      </c>
      <c r="K99" s="1">
        <v>12</v>
      </c>
      <c r="L99" s="1">
        <f t="shared" si="1"/>
        <v>0.87301587301587302</v>
      </c>
    </row>
    <row r="100" spans="1:12" x14ac:dyDescent="0.25">
      <c r="A100" s="1">
        <v>2007</v>
      </c>
      <c r="B100" s="1">
        <v>9</v>
      </c>
      <c r="C100" s="1" t="s">
        <v>25</v>
      </c>
      <c r="D100" s="1">
        <v>55</v>
      </c>
      <c r="E100" s="1">
        <v>38</v>
      </c>
      <c r="F100" s="1">
        <v>14</v>
      </c>
      <c r="G100" s="1">
        <v>13</v>
      </c>
      <c r="H100" s="1">
        <v>11</v>
      </c>
      <c r="I100" s="1">
        <v>62</v>
      </c>
      <c r="J100" s="1">
        <v>58</v>
      </c>
      <c r="K100" s="1">
        <v>4</v>
      </c>
      <c r="L100" s="1">
        <f t="shared" si="1"/>
        <v>0.88709677419354838</v>
      </c>
    </row>
    <row r="101" spans="1:12" x14ac:dyDescent="0.25">
      <c r="A101" s="1">
        <v>2007</v>
      </c>
      <c r="B101" s="1">
        <v>10</v>
      </c>
      <c r="C101" s="1" t="s">
        <v>16</v>
      </c>
      <c r="D101" s="1">
        <v>54</v>
      </c>
      <c r="E101" s="1">
        <v>38</v>
      </c>
      <c r="F101" s="1">
        <v>15</v>
      </c>
      <c r="G101" s="1">
        <v>9</v>
      </c>
      <c r="H101" s="1">
        <v>14</v>
      </c>
      <c r="I101" s="1">
        <v>58</v>
      </c>
      <c r="J101" s="1">
        <v>47</v>
      </c>
      <c r="K101" s="1">
        <v>11</v>
      </c>
      <c r="L101" s="1">
        <f t="shared" si="1"/>
        <v>0.93103448275862066</v>
      </c>
    </row>
    <row r="102" spans="1:12" x14ac:dyDescent="0.25">
      <c r="A102" s="1">
        <v>2007</v>
      </c>
      <c r="B102" s="1">
        <v>11</v>
      </c>
      <c r="C102" s="1" t="s">
        <v>6</v>
      </c>
      <c r="D102" s="1">
        <v>54</v>
      </c>
      <c r="E102" s="1">
        <v>38</v>
      </c>
      <c r="F102" s="1">
        <v>15</v>
      </c>
      <c r="G102" s="1">
        <v>9</v>
      </c>
      <c r="H102" s="1">
        <v>14</v>
      </c>
      <c r="I102" s="1">
        <v>49</v>
      </c>
      <c r="J102" s="1">
        <v>44</v>
      </c>
      <c r="K102" s="1">
        <v>5</v>
      </c>
      <c r="L102" s="1">
        <f t="shared" si="1"/>
        <v>1.1020408163265305</v>
      </c>
    </row>
    <row r="103" spans="1:12" x14ac:dyDescent="0.25">
      <c r="A103" s="1">
        <v>2007</v>
      </c>
      <c r="B103" s="1">
        <v>12</v>
      </c>
      <c r="C103" s="1" t="s">
        <v>11</v>
      </c>
      <c r="D103" s="1">
        <v>54</v>
      </c>
      <c r="E103" s="1">
        <v>38</v>
      </c>
      <c r="F103" s="1">
        <v>14</v>
      </c>
      <c r="G103" s="1">
        <v>12</v>
      </c>
      <c r="H103" s="1">
        <v>12</v>
      </c>
      <c r="I103" s="1">
        <v>51</v>
      </c>
      <c r="J103" s="1">
        <v>50</v>
      </c>
      <c r="K103" s="1">
        <v>1</v>
      </c>
      <c r="L103" s="1">
        <f t="shared" si="1"/>
        <v>1.0588235294117647</v>
      </c>
    </row>
    <row r="104" spans="1:12" x14ac:dyDescent="0.25">
      <c r="A104" s="1">
        <v>2007</v>
      </c>
      <c r="B104" s="1">
        <v>13</v>
      </c>
      <c r="C104" s="1" t="s">
        <v>10</v>
      </c>
      <c r="D104" s="1">
        <v>53</v>
      </c>
      <c r="E104" s="1">
        <v>38</v>
      </c>
      <c r="F104" s="1">
        <v>14</v>
      </c>
      <c r="G104" s="1">
        <v>11</v>
      </c>
      <c r="H104" s="1">
        <v>13</v>
      </c>
      <c r="I104" s="1">
        <v>57</v>
      </c>
      <c r="J104" s="1">
        <v>56</v>
      </c>
      <c r="K104" s="1">
        <v>1</v>
      </c>
      <c r="L104" s="1">
        <f t="shared" si="1"/>
        <v>0.92982456140350878</v>
      </c>
    </row>
    <row r="105" spans="1:12" x14ac:dyDescent="0.25">
      <c r="A105" s="1">
        <v>2007</v>
      </c>
      <c r="B105" s="1">
        <v>14</v>
      </c>
      <c r="C105" s="1" t="s">
        <v>28</v>
      </c>
      <c r="D105" s="1">
        <v>51</v>
      </c>
      <c r="E105" s="1">
        <v>38</v>
      </c>
      <c r="F105" s="1">
        <v>14</v>
      </c>
      <c r="G105" s="1">
        <v>9</v>
      </c>
      <c r="H105" s="1">
        <v>15</v>
      </c>
      <c r="I105" s="1">
        <v>54</v>
      </c>
      <c r="J105" s="1">
        <v>55</v>
      </c>
      <c r="K105" s="1">
        <v>-1</v>
      </c>
      <c r="L105" s="1">
        <f t="shared" si="1"/>
        <v>0.94444444444444442</v>
      </c>
    </row>
    <row r="106" spans="1:12" x14ac:dyDescent="0.25">
      <c r="A106" s="1">
        <v>2007</v>
      </c>
      <c r="B106" s="1">
        <v>15</v>
      </c>
      <c r="C106" s="1" t="s">
        <v>29</v>
      </c>
      <c r="D106" s="1">
        <v>49</v>
      </c>
      <c r="E106" s="1">
        <v>38</v>
      </c>
      <c r="F106" s="1">
        <v>14</v>
      </c>
      <c r="G106" s="1">
        <v>7</v>
      </c>
      <c r="H106" s="1">
        <v>17</v>
      </c>
      <c r="I106" s="1">
        <v>66</v>
      </c>
      <c r="J106" s="1">
        <v>63</v>
      </c>
      <c r="K106" s="1">
        <v>3</v>
      </c>
      <c r="L106" s="1">
        <f t="shared" si="1"/>
        <v>0.74242424242424243</v>
      </c>
    </row>
    <row r="107" spans="1:12" x14ac:dyDescent="0.25">
      <c r="A107" s="1">
        <v>2007</v>
      </c>
      <c r="B107" s="1">
        <v>16</v>
      </c>
      <c r="C107" s="1" t="s">
        <v>8</v>
      </c>
      <c r="D107" s="1">
        <v>45</v>
      </c>
      <c r="E107" s="1">
        <v>38</v>
      </c>
      <c r="F107" s="1">
        <v>13</v>
      </c>
      <c r="G107" s="1">
        <v>6</v>
      </c>
      <c r="H107" s="1">
        <v>19</v>
      </c>
      <c r="I107" s="1">
        <v>49</v>
      </c>
      <c r="J107" s="1">
        <v>62</v>
      </c>
      <c r="K107" s="1">
        <v>-13</v>
      </c>
      <c r="L107" s="1">
        <f t="shared" si="1"/>
        <v>0.91836734693877553</v>
      </c>
    </row>
    <row r="108" spans="1:12" x14ac:dyDescent="0.25">
      <c r="A108" s="1">
        <v>2007</v>
      </c>
      <c r="B108" s="1">
        <v>17</v>
      </c>
      <c r="C108" s="1" t="s">
        <v>14</v>
      </c>
      <c r="D108" s="1">
        <v>44</v>
      </c>
      <c r="E108" s="1">
        <v>38</v>
      </c>
      <c r="F108" s="1">
        <v>10</v>
      </c>
      <c r="G108" s="1">
        <v>14</v>
      </c>
      <c r="H108" s="1">
        <v>14</v>
      </c>
      <c r="I108" s="1">
        <v>40</v>
      </c>
      <c r="J108" s="1">
        <v>50</v>
      </c>
      <c r="K108" s="1">
        <v>-10</v>
      </c>
      <c r="L108" s="1">
        <f t="shared" si="1"/>
        <v>1.1000000000000001</v>
      </c>
    </row>
    <row r="109" spans="1:12" x14ac:dyDescent="0.25">
      <c r="A109" s="1">
        <v>2007</v>
      </c>
      <c r="B109" s="1">
        <v>18</v>
      </c>
      <c r="C109" s="1" t="s">
        <v>17</v>
      </c>
      <c r="D109" s="1">
        <v>41</v>
      </c>
      <c r="E109" s="1">
        <v>38</v>
      </c>
      <c r="F109" s="1">
        <v>11</v>
      </c>
      <c r="G109" s="1">
        <v>8</v>
      </c>
      <c r="H109" s="1">
        <v>19</v>
      </c>
      <c r="I109" s="1">
        <v>43</v>
      </c>
      <c r="J109" s="1">
        <v>65</v>
      </c>
      <c r="K109" s="1">
        <v>-22</v>
      </c>
      <c r="L109" s="1">
        <f t="shared" si="1"/>
        <v>0.95348837209302328</v>
      </c>
    </row>
    <row r="110" spans="1:12" x14ac:dyDescent="0.25">
      <c r="A110" s="1">
        <v>2007</v>
      </c>
      <c r="B110" s="1">
        <v>19</v>
      </c>
      <c r="C110" s="1" t="s">
        <v>9</v>
      </c>
      <c r="D110" s="1">
        <v>41</v>
      </c>
      <c r="E110" s="1">
        <v>38</v>
      </c>
      <c r="F110" s="1">
        <v>11</v>
      </c>
      <c r="G110" s="1">
        <v>8</v>
      </c>
      <c r="H110" s="1">
        <v>19</v>
      </c>
      <c r="I110" s="1">
        <v>42</v>
      </c>
      <c r="J110" s="1">
        <v>64</v>
      </c>
      <c r="K110" s="1">
        <v>-22</v>
      </c>
      <c r="L110" s="1">
        <f t="shared" si="1"/>
        <v>0.97619047619047616</v>
      </c>
    </row>
    <row r="111" spans="1:12" x14ac:dyDescent="0.25">
      <c r="A111" s="1">
        <v>2007</v>
      </c>
      <c r="B111" s="1">
        <v>20</v>
      </c>
      <c r="C111" s="1" t="s">
        <v>30</v>
      </c>
      <c r="D111" s="1">
        <v>17</v>
      </c>
      <c r="E111" s="1">
        <v>38</v>
      </c>
      <c r="F111" s="1">
        <v>4</v>
      </c>
      <c r="G111" s="1">
        <v>5</v>
      </c>
      <c r="H111" s="1">
        <v>29</v>
      </c>
      <c r="I111" s="1">
        <v>24</v>
      </c>
      <c r="J111" s="1">
        <v>80</v>
      </c>
      <c r="K111" s="1">
        <v>-56</v>
      </c>
      <c r="L111" s="1">
        <f t="shared" si="1"/>
        <v>0.70833333333333337</v>
      </c>
    </row>
    <row r="112" spans="1:12" x14ac:dyDescent="0.25">
      <c r="A112" s="1">
        <v>2008</v>
      </c>
      <c r="B112" s="1">
        <v>1</v>
      </c>
      <c r="C112" s="1" t="s">
        <v>2</v>
      </c>
      <c r="D112" s="1">
        <v>75</v>
      </c>
      <c r="E112" s="1">
        <v>38</v>
      </c>
      <c r="F112" s="1">
        <v>21</v>
      </c>
      <c r="G112" s="1">
        <v>12</v>
      </c>
      <c r="H112" s="1">
        <v>5</v>
      </c>
      <c r="I112" s="1">
        <v>66</v>
      </c>
      <c r="J112" s="1">
        <v>36</v>
      </c>
      <c r="K112" s="1">
        <v>30</v>
      </c>
      <c r="L112" s="1">
        <f t="shared" si="1"/>
        <v>1.1363636363636365</v>
      </c>
    </row>
    <row r="113" spans="1:12" x14ac:dyDescent="0.25">
      <c r="A113" s="1">
        <v>2008</v>
      </c>
      <c r="B113" s="1">
        <v>2</v>
      </c>
      <c r="C113" s="1" t="s">
        <v>20</v>
      </c>
      <c r="D113" s="1">
        <v>72</v>
      </c>
      <c r="E113" s="1">
        <v>38</v>
      </c>
      <c r="F113" s="1">
        <v>21</v>
      </c>
      <c r="G113" s="1">
        <v>9</v>
      </c>
      <c r="H113" s="1">
        <v>8</v>
      </c>
      <c r="I113" s="1">
        <v>59</v>
      </c>
      <c r="J113" s="1">
        <v>35</v>
      </c>
      <c r="K113" s="1">
        <v>24</v>
      </c>
      <c r="L113" s="1">
        <f t="shared" si="1"/>
        <v>1.2203389830508475</v>
      </c>
    </row>
    <row r="114" spans="1:12" x14ac:dyDescent="0.25">
      <c r="A114" s="1">
        <v>2008</v>
      </c>
      <c r="B114" s="1">
        <v>3</v>
      </c>
      <c r="C114" s="1" t="s">
        <v>0</v>
      </c>
      <c r="D114" s="1">
        <v>67</v>
      </c>
      <c r="E114" s="1">
        <v>38</v>
      </c>
      <c r="F114" s="1">
        <v>21</v>
      </c>
      <c r="G114" s="1">
        <v>4</v>
      </c>
      <c r="H114" s="1">
        <v>13</v>
      </c>
      <c r="I114" s="1">
        <v>59</v>
      </c>
      <c r="J114" s="1">
        <v>44</v>
      </c>
      <c r="K114" s="1">
        <v>15</v>
      </c>
      <c r="L114" s="1">
        <f t="shared" si="1"/>
        <v>1.1355932203389831</v>
      </c>
    </row>
    <row r="115" spans="1:12" x14ac:dyDescent="0.25">
      <c r="A115" s="1">
        <v>2008</v>
      </c>
      <c r="B115" s="1">
        <v>4</v>
      </c>
      <c r="C115" s="1" t="s">
        <v>24</v>
      </c>
      <c r="D115" s="1">
        <v>65</v>
      </c>
      <c r="E115" s="1">
        <v>38</v>
      </c>
      <c r="F115" s="1">
        <v>19</v>
      </c>
      <c r="G115" s="1">
        <v>8</v>
      </c>
      <c r="H115" s="1">
        <v>11</v>
      </c>
      <c r="I115" s="1">
        <v>55</v>
      </c>
      <c r="J115" s="1">
        <v>45</v>
      </c>
      <c r="K115" s="1">
        <v>10</v>
      </c>
      <c r="L115" s="1">
        <f t="shared" si="1"/>
        <v>1.1818181818181819</v>
      </c>
    </row>
    <row r="116" spans="1:12" x14ac:dyDescent="0.25">
      <c r="A116" s="1">
        <v>2008</v>
      </c>
      <c r="B116" s="1">
        <v>5</v>
      </c>
      <c r="C116" s="1" t="s">
        <v>7</v>
      </c>
      <c r="D116" s="1">
        <v>64</v>
      </c>
      <c r="E116" s="1">
        <v>38</v>
      </c>
      <c r="F116" s="1">
        <v>18</v>
      </c>
      <c r="G116" s="1">
        <v>10</v>
      </c>
      <c r="H116" s="1">
        <v>10</v>
      </c>
      <c r="I116" s="1">
        <v>67</v>
      </c>
      <c r="J116" s="1">
        <v>48</v>
      </c>
      <c r="K116" s="1">
        <v>19</v>
      </c>
      <c r="L116" s="1">
        <f t="shared" si="1"/>
        <v>0.95522388059701491</v>
      </c>
    </row>
    <row r="117" spans="1:12" x14ac:dyDescent="0.25">
      <c r="A117" s="1">
        <v>2008</v>
      </c>
      <c r="B117" s="1">
        <v>6</v>
      </c>
      <c r="C117" s="1" t="s">
        <v>6</v>
      </c>
      <c r="D117" s="1">
        <v>54</v>
      </c>
      <c r="E117" s="1">
        <v>38</v>
      </c>
      <c r="F117" s="1">
        <v>15</v>
      </c>
      <c r="G117" s="1">
        <v>9</v>
      </c>
      <c r="H117" s="1">
        <v>14</v>
      </c>
      <c r="I117" s="1">
        <v>48</v>
      </c>
      <c r="J117" s="1">
        <v>47</v>
      </c>
      <c r="K117" s="1">
        <v>1</v>
      </c>
      <c r="L117" s="1">
        <f t="shared" si="1"/>
        <v>1.125</v>
      </c>
    </row>
    <row r="118" spans="1:12" x14ac:dyDescent="0.25">
      <c r="A118" s="1">
        <v>2008</v>
      </c>
      <c r="B118" s="1">
        <v>7</v>
      </c>
      <c r="C118" s="1" t="s">
        <v>25</v>
      </c>
      <c r="D118" s="1">
        <v>53</v>
      </c>
      <c r="E118" s="1">
        <v>38</v>
      </c>
      <c r="F118" s="1">
        <v>15</v>
      </c>
      <c r="G118" s="1">
        <v>8</v>
      </c>
      <c r="H118" s="1">
        <v>15</v>
      </c>
      <c r="I118" s="1">
        <v>51</v>
      </c>
      <c r="J118" s="1">
        <v>44</v>
      </c>
      <c r="K118" s="1">
        <v>7</v>
      </c>
      <c r="L118" s="1">
        <f t="shared" si="1"/>
        <v>1.0392156862745099</v>
      </c>
    </row>
    <row r="119" spans="1:12" x14ac:dyDescent="0.25">
      <c r="A119" s="1">
        <v>2008</v>
      </c>
      <c r="B119" s="1">
        <v>8</v>
      </c>
      <c r="C119" s="1" t="s">
        <v>8</v>
      </c>
      <c r="D119" s="1">
        <v>53</v>
      </c>
      <c r="E119" s="1">
        <v>38</v>
      </c>
      <c r="F119" s="1">
        <v>14</v>
      </c>
      <c r="G119" s="1">
        <v>11</v>
      </c>
      <c r="H119" s="1">
        <v>13</v>
      </c>
      <c r="I119" s="1">
        <v>57</v>
      </c>
      <c r="J119" s="1">
        <v>47</v>
      </c>
      <c r="K119" s="1">
        <v>10</v>
      </c>
      <c r="L119" s="1">
        <f t="shared" si="1"/>
        <v>0.92982456140350878</v>
      </c>
    </row>
    <row r="120" spans="1:12" x14ac:dyDescent="0.25">
      <c r="A120" s="1">
        <v>2008</v>
      </c>
      <c r="B120" s="1">
        <v>9</v>
      </c>
      <c r="C120" s="1" t="s">
        <v>4</v>
      </c>
      <c r="D120" s="1">
        <v>53</v>
      </c>
      <c r="E120" s="1">
        <v>38</v>
      </c>
      <c r="F120" s="1">
        <v>14</v>
      </c>
      <c r="G120" s="1">
        <v>11</v>
      </c>
      <c r="H120" s="1">
        <v>13</v>
      </c>
      <c r="I120" s="1">
        <v>55</v>
      </c>
      <c r="J120" s="1">
        <v>48</v>
      </c>
      <c r="K120" s="1">
        <v>7</v>
      </c>
      <c r="L120" s="1">
        <f t="shared" si="1"/>
        <v>0.96363636363636362</v>
      </c>
    </row>
    <row r="121" spans="1:12" x14ac:dyDescent="0.25">
      <c r="A121" s="1">
        <v>2008</v>
      </c>
      <c r="B121" s="1">
        <v>10</v>
      </c>
      <c r="C121" s="1" t="s">
        <v>15</v>
      </c>
      <c r="D121" s="1">
        <v>52</v>
      </c>
      <c r="E121" s="1">
        <v>38</v>
      </c>
      <c r="F121" s="1">
        <v>15</v>
      </c>
      <c r="G121" s="1">
        <v>7</v>
      </c>
      <c r="H121" s="1">
        <v>16</v>
      </c>
      <c r="I121" s="1">
        <v>48</v>
      </c>
      <c r="J121" s="1">
        <v>44</v>
      </c>
      <c r="K121" s="1">
        <v>4</v>
      </c>
      <c r="L121" s="1">
        <f t="shared" si="1"/>
        <v>1.0833333333333333</v>
      </c>
    </row>
    <row r="122" spans="1:12" x14ac:dyDescent="0.25">
      <c r="A122" s="1">
        <v>2008</v>
      </c>
      <c r="B122" s="1">
        <v>11</v>
      </c>
      <c r="C122" s="1" t="s">
        <v>28</v>
      </c>
      <c r="D122" s="1">
        <v>52</v>
      </c>
      <c r="E122" s="1">
        <v>38</v>
      </c>
      <c r="F122" s="1">
        <v>14</v>
      </c>
      <c r="G122" s="1">
        <v>10</v>
      </c>
      <c r="H122" s="1">
        <v>14</v>
      </c>
      <c r="I122" s="1">
        <v>48</v>
      </c>
      <c r="J122" s="1">
        <v>45</v>
      </c>
      <c r="K122" s="1">
        <v>3</v>
      </c>
      <c r="L122" s="1">
        <f t="shared" si="1"/>
        <v>1.0833333333333333</v>
      </c>
    </row>
    <row r="123" spans="1:12" x14ac:dyDescent="0.25">
      <c r="A123" s="1">
        <v>2008</v>
      </c>
      <c r="B123" s="1">
        <v>12</v>
      </c>
      <c r="C123" s="1" t="s">
        <v>5</v>
      </c>
      <c r="D123" s="1">
        <v>48</v>
      </c>
      <c r="E123" s="1">
        <v>38</v>
      </c>
      <c r="F123" s="1">
        <v>12</v>
      </c>
      <c r="G123" s="1">
        <v>12</v>
      </c>
      <c r="H123" s="1">
        <v>14</v>
      </c>
      <c r="I123" s="1">
        <v>50</v>
      </c>
      <c r="J123" s="1">
        <v>61</v>
      </c>
      <c r="K123" s="1">
        <v>-11</v>
      </c>
      <c r="L123" s="1">
        <f t="shared" si="1"/>
        <v>0.96</v>
      </c>
    </row>
    <row r="124" spans="1:12" x14ac:dyDescent="0.25">
      <c r="A124" s="1">
        <v>2008</v>
      </c>
      <c r="B124" s="1">
        <v>13</v>
      </c>
      <c r="C124" s="1" t="s">
        <v>11</v>
      </c>
      <c r="D124" s="1">
        <v>45</v>
      </c>
      <c r="E124" s="1">
        <v>38</v>
      </c>
      <c r="F124" s="1">
        <v>12</v>
      </c>
      <c r="G124" s="1">
        <v>9</v>
      </c>
      <c r="H124" s="1">
        <v>17</v>
      </c>
      <c r="I124" s="1">
        <v>45</v>
      </c>
      <c r="J124" s="1">
        <v>54</v>
      </c>
      <c r="K124" s="1">
        <v>-9</v>
      </c>
      <c r="L124" s="1">
        <f t="shared" si="1"/>
        <v>1</v>
      </c>
    </row>
    <row r="125" spans="1:12" x14ac:dyDescent="0.25">
      <c r="A125" s="1">
        <v>2008</v>
      </c>
      <c r="B125" s="1">
        <v>14</v>
      </c>
      <c r="C125" s="1" t="s">
        <v>18</v>
      </c>
      <c r="D125" s="1">
        <v>45</v>
      </c>
      <c r="E125" s="1">
        <v>38</v>
      </c>
      <c r="F125" s="1">
        <v>11</v>
      </c>
      <c r="G125" s="1">
        <v>12</v>
      </c>
      <c r="H125" s="1">
        <v>15</v>
      </c>
      <c r="I125" s="1">
        <v>49</v>
      </c>
      <c r="J125" s="1">
        <v>48</v>
      </c>
      <c r="K125" s="1">
        <v>1</v>
      </c>
      <c r="L125" s="1">
        <f t="shared" si="1"/>
        <v>0.91836734693877553</v>
      </c>
    </row>
    <row r="126" spans="1:12" x14ac:dyDescent="0.25">
      <c r="A126" s="1">
        <v>2008</v>
      </c>
      <c r="B126" s="1">
        <v>15</v>
      </c>
      <c r="C126" s="1" t="s">
        <v>1</v>
      </c>
      <c r="D126" s="1">
        <v>45</v>
      </c>
      <c r="E126" s="1">
        <v>38</v>
      </c>
      <c r="F126" s="1">
        <v>11</v>
      </c>
      <c r="G126" s="1">
        <v>12</v>
      </c>
      <c r="H126" s="1">
        <v>15</v>
      </c>
      <c r="I126" s="1">
        <v>44</v>
      </c>
      <c r="J126" s="1">
        <v>53</v>
      </c>
      <c r="K126" s="1">
        <v>-9</v>
      </c>
      <c r="L126" s="1">
        <f t="shared" si="1"/>
        <v>1.0227272727272727</v>
      </c>
    </row>
    <row r="127" spans="1:12" x14ac:dyDescent="0.25">
      <c r="A127" s="1">
        <v>2008</v>
      </c>
      <c r="B127" s="1">
        <v>16</v>
      </c>
      <c r="C127" s="1" t="s">
        <v>29</v>
      </c>
      <c r="D127" s="1">
        <v>44</v>
      </c>
      <c r="E127" s="1">
        <v>38</v>
      </c>
      <c r="F127" s="1">
        <v>11</v>
      </c>
      <c r="G127" s="1">
        <v>11</v>
      </c>
      <c r="H127" s="1">
        <v>16</v>
      </c>
      <c r="I127" s="1">
        <v>44</v>
      </c>
      <c r="J127" s="1">
        <v>54</v>
      </c>
      <c r="K127" s="1">
        <v>-10</v>
      </c>
      <c r="L127" s="1">
        <f t="shared" si="1"/>
        <v>1</v>
      </c>
    </row>
    <row r="128" spans="1:12" x14ac:dyDescent="0.25">
      <c r="A128" s="1">
        <v>2008</v>
      </c>
      <c r="B128" s="1">
        <v>17</v>
      </c>
      <c r="C128" s="1" t="s">
        <v>10</v>
      </c>
      <c r="D128" s="1">
        <v>44</v>
      </c>
      <c r="E128" s="1">
        <v>38</v>
      </c>
      <c r="F128" s="1">
        <v>11</v>
      </c>
      <c r="G128" s="1">
        <v>11</v>
      </c>
      <c r="H128" s="1">
        <v>16</v>
      </c>
      <c r="I128" s="1">
        <v>49</v>
      </c>
      <c r="J128" s="1">
        <v>73</v>
      </c>
      <c r="K128" s="1">
        <v>-24</v>
      </c>
      <c r="L128" s="1">
        <f t="shared" si="1"/>
        <v>0.89795918367346939</v>
      </c>
    </row>
    <row r="129" spans="1:12" x14ac:dyDescent="0.25">
      <c r="A129" s="1">
        <v>2008</v>
      </c>
      <c r="B129" s="1">
        <v>18</v>
      </c>
      <c r="C129" s="1" t="s">
        <v>16</v>
      </c>
      <c r="D129" s="1">
        <v>40</v>
      </c>
      <c r="E129" s="1">
        <v>38</v>
      </c>
      <c r="F129" s="1">
        <v>11</v>
      </c>
      <c r="G129" s="1">
        <v>7</v>
      </c>
      <c r="H129" s="1">
        <v>20</v>
      </c>
      <c r="I129" s="1">
        <v>56</v>
      </c>
      <c r="J129" s="1">
        <v>72</v>
      </c>
      <c r="K129" s="1">
        <v>-16</v>
      </c>
      <c r="L129" s="1">
        <f t="shared" si="1"/>
        <v>0.7142857142857143</v>
      </c>
    </row>
    <row r="130" spans="1:12" x14ac:dyDescent="0.25">
      <c r="A130" s="1">
        <v>2008</v>
      </c>
      <c r="B130" s="1">
        <v>19</v>
      </c>
      <c r="C130" s="1" t="s">
        <v>31</v>
      </c>
      <c r="D130" s="1">
        <v>38</v>
      </c>
      <c r="E130" s="1">
        <v>38</v>
      </c>
      <c r="F130" s="1">
        <v>9</v>
      </c>
      <c r="G130" s="1">
        <v>11</v>
      </c>
      <c r="H130" s="1">
        <v>18</v>
      </c>
      <c r="I130" s="1">
        <v>48</v>
      </c>
      <c r="J130" s="1">
        <v>70</v>
      </c>
      <c r="K130" s="1">
        <v>-22</v>
      </c>
      <c r="L130" s="1">
        <f t="shared" si="1"/>
        <v>0.79166666666666663</v>
      </c>
    </row>
    <row r="131" spans="1:12" x14ac:dyDescent="0.25">
      <c r="A131" s="1">
        <v>2008</v>
      </c>
      <c r="B131" s="1">
        <v>20</v>
      </c>
      <c r="C131" s="1" t="s">
        <v>32</v>
      </c>
      <c r="D131" s="1">
        <v>35</v>
      </c>
      <c r="E131" s="1">
        <v>38</v>
      </c>
      <c r="F131" s="1">
        <v>9</v>
      </c>
      <c r="G131" s="1">
        <v>8</v>
      </c>
      <c r="H131" s="1">
        <v>21</v>
      </c>
      <c r="I131" s="1">
        <v>37</v>
      </c>
      <c r="J131" s="1">
        <v>67</v>
      </c>
      <c r="K131" s="1">
        <v>-30</v>
      </c>
      <c r="L131" s="1">
        <f t="shared" ref="L131:L194" si="2">D131/I131</f>
        <v>0.94594594594594594</v>
      </c>
    </row>
    <row r="132" spans="1:12" x14ac:dyDescent="0.25">
      <c r="A132" s="1">
        <v>2009</v>
      </c>
      <c r="B132" s="1">
        <v>1</v>
      </c>
      <c r="C132" s="1" t="s">
        <v>7</v>
      </c>
      <c r="D132" s="1">
        <v>67</v>
      </c>
      <c r="E132" s="1">
        <v>38</v>
      </c>
      <c r="F132" s="1">
        <v>19</v>
      </c>
      <c r="G132" s="1">
        <v>10</v>
      </c>
      <c r="H132" s="1">
        <v>9</v>
      </c>
      <c r="I132" s="1">
        <v>58</v>
      </c>
      <c r="J132" s="1">
        <v>44</v>
      </c>
      <c r="K132" s="1">
        <v>14</v>
      </c>
      <c r="L132" s="1">
        <f t="shared" si="2"/>
        <v>1.1551724137931034</v>
      </c>
    </row>
    <row r="133" spans="1:12" x14ac:dyDescent="0.25">
      <c r="A133" s="1">
        <v>2009</v>
      </c>
      <c r="B133" s="1">
        <v>2</v>
      </c>
      <c r="C133" s="1" t="s">
        <v>6</v>
      </c>
      <c r="D133" s="1">
        <v>65</v>
      </c>
      <c r="E133" s="1">
        <v>38</v>
      </c>
      <c r="F133" s="1">
        <v>19</v>
      </c>
      <c r="G133" s="1">
        <v>8</v>
      </c>
      <c r="H133" s="1">
        <v>11</v>
      </c>
      <c r="I133" s="1">
        <v>65</v>
      </c>
      <c r="J133" s="1">
        <v>44</v>
      </c>
      <c r="K133" s="1">
        <v>21</v>
      </c>
      <c r="L133" s="1">
        <f t="shared" si="2"/>
        <v>1</v>
      </c>
    </row>
    <row r="134" spans="1:12" x14ac:dyDescent="0.25">
      <c r="A134" s="1">
        <v>2009</v>
      </c>
      <c r="B134" s="1">
        <v>3</v>
      </c>
      <c r="C134" s="1" t="s">
        <v>2</v>
      </c>
      <c r="D134" s="1">
        <v>65</v>
      </c>
      <c r="E134" s="1">
        <v>38</v>
      </c>
      <c r="F134" s="1">
        <v>18</v>
      </c>
      <c r="G134" s="1">
        <v>11</v>
      </c>
      <c r="H134" s="1">
        <v>9</v>
      </c>
      <c r="I134" s="1">
        <v>57</v>
      </c>
      <c r="J134" s="1">
        <v>42</v>
      </c>
      <c r="K134" s="1">
        <v>15</v>
      </c>
      <c r="L134" s="1">
        <f t="shared" si="2"/>
        <v>1.1403508771929824</v>
      </c>
    </row>
    <row r="135" spans="1:12" x14ac:dyDescent="0.25">
      <c r="A135" s="1">
        <v>2009</v>
      </c>
      <c r="B135" s="1">
        <v>4</v>
      </c>
      <c r="C135" s="1" t="s">
        <v>0</v>
      </c>
      <c r="D135" s="1">
        <v>62</v>
      </c>
      <c r="E135" s="1">
        <v>38</v>
      </c>
      <c r="F135" s="1">
        <v>18</v>
      </c>
      <c r="G135" s="1">
        <v>8</v>
      </c>
      <c r="H135" s="1">
        <v>12</v>
      </c>
      <c r="I135" s="1">
        <v>58</v>
      </c>
      <c r="J135" s="1">
        <v>53</v>
      </c>
      <c r="K135" s="1">
        <v>5</v>
      </c>
      <c r="L135" s="1">
        <f t="shared" si="2"/>
        <v>1.0689655172413792</v>
      </c>
    </row>
    <row r="136" spans="1:12" x14ac:dyDescent="0.25">
      <c r="A136" s="1">
        <v>2009</v>
      </c>
      <c r="B136" s="1">
        <v>5</v>
      </c>
      <c r="C136" s="1" t="s">
        <v>24</v>
      </c>
      <c r="D136" s="1">
        <v>62</v>
      </c>
      <c r="E136" s="1">
        <v>38</v>
      </c>
      <c r="F136" s="1">
        <v>17</v>
      </c>
      <c r="G136" s="1">
        <v>11</v>
      </c>
      <c r="H136" s="1">
        <v>10</v>
      </c>
      <c r="I136" s="1">
        <v>58</v>
      </c>
      <c r="J136" s="1">
        <v>45</v>
      </c>
      <c r="K136" s="1">
        <v>13</v>
      </c>
      <c r="L136" s="1">
        <f t="shared" si="2"/>
        <v>1.0689655172413792</v>
      </c>
    </row>
    <row r="137" spans="1:12" x14ac:dyDescent="0.25">
      <c r="A137" s="1">
        <v>2009</v>
      </c>
      <c r="B137" s="1">
        <v>6</v>
      </c>
      <c r="C137" s="1" t="s">
        <v>33</v>
      </c>
      <c r="D137" s="1">
        <v>57</v>
      </c>
      <c r="E137" s="1">
        <v>38</v>
      </c>
      <c r="F137" s="1">
        <v>15</v>
      </c>
      <c r="G137" s="1">
        <v>12</v>
      </c>
      <c r="H137" s="1">
        <v>11</v>
      </c>
      <c r="I137" s="1">
        <v>61</v>
      </c>
      <c r="J137" s="1">
        <v>52</v>
      </c>
      <c r="K137" s="1">
        <v>9</v>
      </c>
      <c r="L137" s="1">
        <f t="shared" si="2"/>
        <v>0.93442622950819676</v>
      </c>
    </row>
    <row r="138" spans="1:12" x14ac:dyDescent="0.25">
      <c r="A138" s="1">
        <v>2009</v>
      </c>
      <c r="B138" s="1">
        <v>7</v>
      </c>
      <c r="C138" s="1" t="s">
        <v>5</v>
      </c>
      <c r="D138" s="1">
        <v>56</v>
      </c>
      <c r="E138" s="1">
        <v>38</v>
      </c>
      <c r="F138" s="1">
        <v>16</v>
      </c>
      <c r="G138" s="1">
        <v>8</v>
      </c>
      <c r="H138" s="1">
        <v>14</v>
      </c>
      <c r="I138" s="1">
        <v>55</v>
      </c>
      <c r="J138" s="1">
        <v>56</v>
      </c>
      <c r="K138" s="1">
        <v>-1</v>
      </c>
      <c r="L138" s="1">
        <f t="shared" si="2"/>
        <v>1.0181818181818181</v>
      </c>
    </row>
    <row r="139" spans="1:12" x14ac:dyDescent="0.25">
      <c r="A139" s="1">
        <v>2009</v>
      </c>
      <c r="B139" s="1">
        <v>8</v>
      </c>
      <c r="C139" s="1" t="s">
        <v>20</v>
      </c>
      <c r="D139" s="1">
        <v>55</v>
      </c>
      <c r="E139" s="1">
        <v>38</v>
      </c>
      <c r="F139" s="1">
        <v>15</v>
      </c>
      <c r="G139" s="1">
        <v>10</v>
      </c>
      <c r="H139" s="1">
        <v>13</v>
      </c>
      <c r="I139" s="1">
        <v>67</v>
      </c>
      <c r="J139" s="1">
        <v>46</v>
      </c>
      <c r="K139" s="1">
        <v>21</v>
      </c>
      <c r="L139" s="1">
        <f t="shared" si="2"/>
        <v>0.82089552238805974</v>
      </c>
    </row>
    <row r="140" spans="1:12" x14ac:dyDescent="0.25">
      <c r="A140" s="1">
        <v>2009</v>
      </c>
      <c r="B140" s="1">
        <v>9</v>
      </c>
      <c r="C140" s="1" t="s">
        <v>8</v>
      </c>
      <c r="D140" s="1">
        <v>55</v>
      </c>
      <c r="E140" s="1">
        <v>38</v>
      </c>
      <c r="F140" s="1">
        <v>15</v>
      </c>
      <c r="G140" s="1">
        <v>10</v>
      </c>
      <c r="H140" s="1">
        <v>13</v>
      </c>
      <c r="I140" s="1">
        <v>64</v>
      </c>
      <c r="J140" s="1">
        <v>65</v>
      </c>
      <c r="K140" s="1">
        <v>-1</v>
      </c>
      <c r="L140" s="1">
        <f t="shared" si="2"/>
        <v>0.859375</v>
      </c>
    </row>
    <row r="141" spans="1:12" x14ac:dyDescent="0.25">
      <c r="A141" s="1">
        <v>2009</v>
      </c>
      <c r="B141" s="1">
        <v>10</v>
      </c>
      <c r="C141" s="1" t="s">
        <v>14</v>
      </c>
      <c r="D141" s="1">
        <v>52</v>
      </c>
      <c r="E141" s="1">
        <v>38</v>
      </c>
      <c r="F141" s="1">
        <v>14</v>
      </c>
      <c r="G141" s="1">
        <v>10</v>
      </c>
      <c r="H141" s="1">
        <v>14</v>
      </c>
      <c r="I141" s="1">
        <v>50</v>
      </c>
      <c r="J141" s="1">
        <v>54</v>
      </c>
      <c r="K141" s="1">
        <v>-4</v>
      </c>
      <c r="L141" s="1">
        <f t="shared" si="2"/>
        <v>1.04</v>
      </c>
    </row>
    <row r="142" spans="1:12" x14ac:dyDescent="0.25">
      <c r="A142" s="1">
        <v>2009</v>
      </c>
      <c r="B142" s="1">
        <v>11</v>
      </c>
      <c r="C142" s="1" t="s">
        <v>34</v>
      </c>
      <c r="D142" s="1">
        <v>49</v>
      </c>
      <c r="E142" s="1">
        <v>38</v>
      </c>
      <c r="F142" s="1">
        <v>12</v>
      </c>
      <c r="G142" s="1">
        <v>13</v>
      </c>
      <c r="H142" s="1">
        <v>13</v>
      </c>
      <c r="I142" s="1">
        <v>59</v>
      </c>
      <c r="J142" s="1">
        <v>52</v>
      </c>
      <c r="K142" s="1">
        <v>7</v>
      </c>
      <c r="L142" s="1">
        <f t="shared" si="2"/>
        <v>0.83050847457627119</v>
      </c>
    </row>
    <row r="143" spans="1:12" x14ac:dyDescent="0.25">
      <c r="A143" s="1">
        <v>2009</v>
      </c>
      <c r="B143" s="1">
        <v>12</v>
      </c>
      <c r="C143" s="1" t="s">
        <v>1</v>
      </c>
      <c r="D143" s="1">
        <v>49</v>
      </c>
      <c r="E143" s="1">
        <v>38</v>
      </c>
      <c r="F143" s="1">
        <v>12</v>
      </c>
      <c r="G143" s="1">
        <v>13</v>
      </c>
      <c r="H143" s="1">
        <v>13</v>
      </c>
      <c r="I143" s="1">
        <v>58</v>
      </c>
      <c r="J143" s="1">
        <v>58</v>
      </c>
      <c r="K143" s="1">
        <v>0</v>
      </c>
      <c r="L143" s="1">
        <f t="shared" si="2"/>
        <v>0.84482758620689657</v>
      </c>
    </row>
    <row r="144" spans="1:12" x14ac:dyDescent="0.25">
      <c r="A144" s="1">
        <v>2009</v>
      </c>
      <c r="B144" s="1">
        <v>13</v>
      </c>
      <c r="C144" s="1" t="s">
        <v>15</v>
      </c>
      <c r="D144" s="1">
        <v>48</v>
      </c>
      <c r="E144" s="1">
        <v>38</v>
      </c>
      <c r="F144" s="1">
        <v>13</v>
      </c>
      <c r="G144" s="1">
        <v>9</v>
      </c>
      <c r="H144" s="1">
        <v>16</v>
      </c>
      <c r="I144" s="1">
        <v>51</v>
      </c>
      <c r="J144" s="1">
        <v>57</v>
      </c>
      <c r="K144" s="1">
        <v>-6</v>
      </c>
      <c r="L144" s="1">
        <f t="shared" si="2"/>
        <v>0.94117647058823528</v>
      </c>
    </row>
    <row r="145" spans="1:12" x14ac:dyDescent="0.25">
      <c r="A145" s="1">
        <v>2009</v>
      </c>
      <c r="B145" s="1">
        <v>14</v>
      </c>
      <c r="C145" s="1" t="s">
        <v>11</v>
      </c>
      <c r="D145" s="1">
        <v>48</v>
      </c>
      <c r="E145" s="1">
        <v>38</v>
      </c>
      <c r="F145" s="1">
        <v>13</v>
      </c>
      <c r="G145" s="1">
        <v>9</v>
      </c>
      <c r="H145" s="1">
        <v>16</v>
      </c>
      <c r="I145" s="1">
        <v>42</v>
      </c>
      <c r="J145" s="1">
        <v>49</v>
      </c>
      <c r="K145" s="1">
        <v>-7</v>
      </c>
      <c r="L145" s="1">
        <f t="shared" si="2"/>
        <v>1.1428571428571428</v>
      </c>
    </row>
    <row r="146" spans="1:12" x14ac:dyDescent="0.25">
      <c r="A146" s="1">
        <v>2009</v>
      </c>
      <c r="B146" s="1">
        <v>15</v>
      </c>
      <c r="C146" s="1" t="s">
        <v>25</v>
      </c>
      <c r="D146" s="1">
        <v>47</v>
      </c>
      <c r="E146" s="1">
        <v>38</v>
      </c>
      <c r="F146" s="1">
        <v>11</v>
      </c>
      <c r="G146" s="1">
        <v>14</v>
      </c>
      <c r="H146" s="1">
        <v>13</v>
      </c>
      <c r="I146" s="1">
        <v>52</v>
      </c>
      <c r="J146" s="1">
        <v>58</v>
      </c>
      <c r="K146" s="1">
        <v>-6</v>
      </c>
      <c r="L146" s="1">
        <f t="shared" si="2"/>
        <v>0.90384615384615385</v>
      </c>
    </row>
    <row r="147" spans="1:12" x14ac:dyDescent="0.25">
      <c r="A147" s="1">
        <v>2009</v>
      </c>
      <c r="B147" s="1">
        <v>16</v>
      </c>
      <c r="C147" s="1" t="s">
        <v>18</v>
      </c>
      <c r="D147" s="1">
        <v>46</v>
      </c>
      <c r="E147" s="1">
        <v>38</v>
      </c>
      <c r="F147" s="1">
        <v>11</v>
      </c>
      <c r="G147" s="1">
        <v>13</v>
      </c>
      <c r="H147" s="1">
        <v>14</v>
      </c>
      <c r="I147" s="1">
        <v>49</v>
      </c>
      <c r="J147" s="1">
        <v>56</v>
      </c>
      <c r="K147" s="1">
        <v>-7</v>
      </c>
      <c r="L147" s="1">
        <f t="shared" si="2"/>
        <v>0.93877551020408168</v>
      </c>
    </row>
    <row r="148" spans="1:12" x14ac:dyDescent="0.25">
      <c r="A148" s="1">
        <v>2009</v>
      </c>
      <c r="B148" s="1">
        <v>17</v>
      </c>
      <c r="C148" s="1" t="s">
        <v>4</v>
      </c>
      <c r="D148" s="1">
        <v>45</v>
      </c>
      <c r="E148" s="1">
        <v>38</v>
      </c>
      <c r="F148" s="1">
        <v>12</v>
      </c>
      <c r="G148" s="1">
        <v>9</v>
      </c>
      <c r="H148" s="1">
        <v>17</v>
      </c>
      <c r="I148" s="1">
        <v>48</v>
      </c>
      <c r="J148" s="1">
        <v>60</v>
      </c>
      <c r="K148" s="1">
        <v>-12</v>
      </c>
      <c r="L148" s="1">
        <f t="shared" si="2"/>
        <v>0.9375</v>
      </c>
    </row>
    <row r="149" spans="1:12" x14ac:dyDescent="0.25">
      <c r="A149" s="1">
        <v>2009</v>
      </c>
      <c r="B149" s="1">
        <v>18</v>
      </c>
      <c r="C149" s="1" t="s">
        <v>35</v>
      </c>
      <c r="D149" s="1">
        <v>41</v>
      </c>
      <c r="E149" s="1">
        <v>38</v>
      </c>
      <c r="F149" s="1">
        <v>11</v>
      </c>
      <c r="G149" s="1">
        <v>8</v>
      </c>
      <c r="H149" s="1">
        <v>19</v>
      </c>
      <c r="I149" s="1">
        <v>46</v>
      </c>
      <c r="J149" s="1">
        <v>61</v>
      </c>
      <c r="K149" s="1">
        <v>-15</v>
      </c>
      <c r="L149" s="1">
        <f t="shared" si="2"/>
        <v>0.89130434782608692</v>
      </c>
    </row>
    <row r="150" spans="1:12" x14ac:dyDescent="0.25">
      <c r="A150" s="1">
        <v>2009</v>
      </c>
      <c r="B150" s="1">
        <v>19</v>
      </c>
      <c r="C150" s="1" t="s">
        <v>29</v>
      </c>
      <c r="D150" s="1">
        <v>38</v>
      </c>
      <c r="E150" s="1">
        <v>38</v>
      </c>
      <c r="F150" s="1">
        <v>10</v>
      </c>
      <c r="G150" s="1">
        <v>8</v>
      </c>
      <c r="H150" s="1">
        <v>20</v>
      </c>
      <c r="I150" s="1">
        <v>48</v>
      </c>
      <c r="J150" s="1">
        <v>71</v>
      </c>
      <c r="K150" s="1">
        <v>-23</v>
      </c>
      <c r="L150" s="1">
        <f t="shared" si="2"/>
        <v>0.79166666666666663</v>
      </c>
    </row>
    <row r="151" spans="1:12" x14ac:dyDescent="0.25">
      <c r="A151" s="1">
        <v>2009</v>
      </c>
      <c r="B151" s="1">
        <v>20</v>
      </c>
      <c r="C151" s="1" t="s">
        <v>28</v>
      </c>
      <c r="D151" s="1">
        <v>31</v>
      </c>
      <c r="E151" s="1">
        <v>38</v>
      </c>
      <c r="F151" s="1">
        <v>7</v>
      </c>
      <c r="G151" s="1">
        <v>10</v>
      </c>
      <c r="H151" s="1">
        <v>21</v>
      </c>
      <c r="I151" s="1">
        <v>48</v>
      </c>
      <c r="J151" s="1">
        <v>71</v>
      </c>
      <c r="K151" s="1">
        <v>-23</v>
      </c>
      <c r="L151" s="1">
        <f t="shared" si="2"/>
        <v>0.64583333333333337</v>
      </c>
    </row>
    <row r="152" spans="1:12" x14ac:dyDescent="0.25">
      <c r="A152" s="1">
        <v>2010</v>
      </c>
      <c r="B152" s="1">
        <v>1</v>
      </c>
      <c r="C152" s="1" t="s">
        <v>18</v>
      </c>
      <c r="D152" s="1">
        <v>71</v>
      </c>
      <c r="E152" s="1">
        <v>38</v>
      </c>
      <c r="F152" s="1">
        <v>20</v>
      </c>
      <c r="G152" s="1">
        <v>11</v>
      </c>
      <c r="H152" s="1">
        <v>7</v>
      </c>
      <c r="I152" s="1">
        <v>62</v>
      </c>
      <c r="J152" s="1">
        <v>36</v>
      </c>
      <c r="K152" s="1">
        <v>26</v>
      </c>
      <c r="L152" s="1">
        <f t="shared" si="2"/>
        <v>1.1451612903225807</v>
      </c>
    </row>
    <row r="153" spans="1:12" x14ac:dyDescent="0.25">
      <c r="A153" s="1">
        <v>2010</v>
      </c>
      <c r="B153" s="1">
        <v>2</v>
      </c>
      <c r="C153" s="1" t="s">
        <v>0</v>
      </c>
      <c r="D153" s="1">
        <v>69</v>
      </c>
      <c r="E153" s="1">
        <v>38</v>
      </c>
      <c r="F153" s="1">
        <v>20</v>
      </c>
      <c r="G153" s="1">
        <v>9</v>
      </c>
      <c r="H153" s="1">
        <v>9</v>
      </c>
      <c r="I153" s="1">
        <v>53</v>
      </c>
      <c r="J153" s="1">
        <v>38</v>
      </c>
      <c r="K153" s="1">
        <v>15</v>
      </c>
      <c r="L153" s="1">
        <f t="shared" si="2"/>
        <v>1.3018867924528301</v>
      </c>
    </row>
    <row r="154" spans="1:12" x14ac:dyDescent="0.25">
      <c r="A154" s="1">
        <v>2010</v>
      </c>
      <c r="B154" s="1">
        <v>3</v>
      </c>
      <c r="C154" s="1" t="s">
        <v>14</v>
      </c>
      <c r="D154" s="1">
        <v>68</v>
      </c>
      <c r="E154" s="1">
        <v>38</v>
      </c>
      <c r="F154" s="1">
        <v>19</v>
      </c>
      <c r="G154" s="1">
        <v>11</v>
      </c>
      <c r="H154" s="1">
        <v>8</v>
      </c>
      <c r="I154" s="1">
        <v>65</v>
      </c>
      <c r="J154" s="1">
        <v>41</v>
      </c>
      <c r="K154" s="1">
        <v>24</v>
      </c>
      <c r="L154" s="1">
        <f t="shared" si="2"/>
        <v>1.0461538461538462</v>
      </c>
    </row>
    <row r="155" spans="1:12" x14ac:dyDescent="0.25">
      <c r="A155" s="1">
        <v>2010</v>
      </c>
      <c r="B155" s="1">
        <v>4</v>
      </c>
      <c r="C155" s="1" t="s">
        <v>20</v>
      </c>
      <c r="D155" s="1">
        <v>63</v>
      </c>
      <c r="E155" s="1">
        <v>38</v>
      </c>
      <c r="F155" s="1">
        <v>17</v>
      </c>
      <c r="G155" s="1">
        <v>12</v>
      </c>
      <c r="H155" s="1">
        <v>9</v>
      </c>
      <c r="I155" s="1">
        <v>68</v>
      </c>
      <c r="J155" s="1">
        <v>43</v>
      </c>
      <c r="K155" s="1">
        <v>25</v>
      </c>
      <c r="L155" s="1">
        <f t="shared" si="2"/>
        <v>0.92647058823529416</v>
      </c>
    </row>
    <row r="156" spans="1:12" x14ac:dyDescent="0.25">
      <c r="A156" s="1">
        <v>2010</v>
      </c>
      <c r="B156" s="1">
        <v>5</v>
      </c>
      <c r="C156" s="1" t="s">
        <v>11</v>
      </c>
      <c r="D156" s="1">
        <v>60</v>
      </c>
      <c r="E156" s="1">
        <v>38</v>
      </c>
      <c r="F156" s="1">
        <v>17</v>
      </c>
      <c r="G156" s="1">
        <v>9</v>
      </c>
      <c r="H156" s="1">
        <v>12</v>
      </c>
      <c r="I156" s="1">
        <v>43</v>
      </c>
      <c r="J156" s="1">
        <v>45</v>
      </c>
      <c r="K156" s="1">
        <v>-2</v>
      </c>
      <c r="L156" s="1">
        <f t="shared" si="2"/>
        <v>1.3953488372093024</v>
      </c>
    </row>
    <row r="157" spans="1:12" x14ac:dyDescent="0.25">
      <c r="A157" s="1">
        <v>2010</v>
      </c>
      <c r="B157" s="1">
        <v>6</v>
      </c>
      <c r="C157" s="1" t="s">
        <v>25</v>
      </c>
      <c r="D157" s="1">
        <v>59</v>
      </c>
      <c r="E157" s="1">
        <v>38</v>
      </c>
      <c r="F157" s="1">
        <v>14</v>
      </c>
      <c r="G157" s="1">
        <v>17</v>
      </c>
      <c r="H157" s="1">
        <v>7</v>
      </c>
      <c r="I157" s="1">
        <v>54</v>
      </c>
      <c r="J157" s="1">
        <v>42</v>
      </c>
      <c r="K157" s="1">
        <v>12</v>
      </c>
      <c r="L157" s="1">
        <f t="shared" si="2"/>
        <v>1.0925925925925926</v>
      </c>
    </row>
    <row r="158" spans="1:12" x14ac:dyDescent="0.25">
      <c r="A158" s="1">
        <v>2010</v>
      </c>
      <c r="B158" s="1">
        <v>7</v>
      </c>
      <c r="C158" s="1" t="s">
        <v>6</v>
      </c>
      <c r="D158" s="1">
        <v>58</v>
      </c>
      <c r="E158" s="1">
        <v>38</v>
      </c>
      <c r="F158" s="1">
        <v>16</v>
      </c>
      <c r="G158" s="1">
        <v>10</v>
      </c>
      <c r="H158" s="1">
        <v>12</v>
      </c>
      <c r="I158" s="1">
        <v>48</v>
      </c>
      <c r="J158" s="1">
        <v>41</v>
      </c>
      <c r="K158" s="1">
        <v>7</v>
      </c>
      <c r="L158" s="1">
        <f t="shared" si="2"/>
        <v>1.2083333333333333</v>
      </c>
    </row>
    <row r="159" spans="1:12" x14ac:dyDescent="0.25">
      <c r="A159" s="1">
        <v>2010</v>
      </c>
      <c r="B159" s="1">
        <v>8</v>
      </c>
      <c r="C159" s="1" t="s">
        <v>1</v>
      </c>
      <c r="D159" s="1">
        <v>56</v>
      </c>
      <c r="E159" s="1">
        <v>38</v>
      </c>
      <c r="F159" s="1">
        <v>15</v>
      </c>
      <c r="G159" s="1">
        <v>11</v>
      </c>
      <c r="H159" s="1">
        <v>12</v>
      </c>
      <c r="I159" s="1">
        <v>63</v>
      </c>
      <c r="J159" s="1">
        <v>50</v>
      </c>
      <c r="K159" s="1">
        <v>13</v>
      </c>
      <c r="L159" s="1">
        <f t="shared" si="2"/>
        <v>0.88888888888888884</v>
      </c>
    </row>
    <row r="160" spans="1:12" x14ac:dyDescent="0.25">
      <c r="A160" s="1">
        <v>2010</v>
      </c>
      <c r="B160" s="1">
        <v>9</v>
      </c>
      <c r="C160" s="1" t="s">
        <v>2</v>
      </c>
      <c r="D160" s="1">
        <v>55</v>
      </c>
      <c r="E160" s="1">
        <v>38</v>
      </c>
      <c r="F160" s="1">
        <v>15</v>
      </c>
      <c r="G160" s="1">
        <v>10</v>
      </c>
      <c r="H160" s="1">
        <v>13</v>
      </c>
      <c r="I160" s="1">
        <v>54</v>
      </c>
      <c r="J160" s="1">
        <v>54</v>
      </c>
      <c r="K160" s="1">
        <v>0</v>
      </c>
      <c r="L160" s="1">
        <f t="shared" si="2"/>
        <v>1.0185185185185186</v>
      </c>
    </row>
    <row r="161" spans="1:12" x14ac:dyDescent="0.25">
      <c r="A161" s="1">
        <v>2010</v>
      </c>
      <c r="B161" s="1">
        <v>10</v>
      </c>
      <c r="C161" s="1" t="s">
        <v>24</v>
      </c>
      <c r="D161" s="1">
        <v>50</v>
      </c>
      <c r="E161" s="1">
        <v>38</v>
      </c>
      <c r="F161" s="1">
        <v>12</v>
      </c>
      <c r="G161" s="1">
        <v>14</v>
      </c>
      <c r="H161" s="1">
        <v>12</v>
      </c>
      <c r="I161" s="1">
        <v>42</v>
      </c>
      <c r="J161" s="1">
        <v>43</v>
      </c>
      <c r="K161" s="1">
        <v>-1</v>
      </c>
      <c r="L161" s="1">
        <f t="shared" si="2"/>
        <v>1.1904761904761905</v>
      </c>
    </row>
    <row r="162" spans="1:12" x14ac:dyDescent="0.25">
      <c r="A162" s="1">
        <v>2010</v>
      </c>
      <c r="B162" s="1">
        <v>11</v>
      </c>
      <c r="C162" s="1" t="s">
        <v>16</v>
      </c>
      <c r="D162" s="1">
        <v>49</v>
      </c>
      <c r="E162" s="1">
        <v>38</v>
      </c>
      <c r="F162" s="1">
        <v>11</v>
      </c>
      <c r="G162" s="1">
        <v>16</v>
      </c>
      <c r="H162" s="1">
        <v>11</v>
      </c>
      <c r="I162" s="1">
        <v>43</v>
      </c>
      <c r="J162" s="1">
        <v>45</v>
      </c>
      <c r="K162" s="1">
        <v>-2</v>
      </c>
      <c r="L162" s="1">
        <f t="shared" si="2"/>
        <v>1.1395348837209303</v>
      </c>
    </row>
    <row r="163" spans="1:12" x14ac:dyDescent="0.25">
      <c r="A163" s="1">
        <v>2010</v>
      </c>
      <c r="B163" s="1">
        <v>12</v>
      </c>
      <c r="C163" s="1" t="s">
        <v>36</v>
      </c>
      <c r="D163" s="1">
        <v>47</v>
      </c>
      <c r="E163" s="1">
        <v>38</v>
      </c>
      <c r="F163" s="1">
        <v>10</v>
      </c>
      <c r="G163" s="1">
        <v>17</v>
      </c>
      <c r="H163" s="1">
        <v>11</v>
      </c>
      <c r="I163" s="1">
        <v>35</v>
      </c>
      <c r="J163" s="1">
        <v>44</v>
      </c>
      <c r="K163" s="1">
        <v>-9</v>
      </c>
      <c r="L163" s="1">
        <f t="shared" si="2"/>
        <v>1.3428571428571427</v>
      </c>
    </row>
    <row r="164" spans="1:12" x14ac:dyDescent="0.25">
      <c r="A164" s="1">
        <v>2010</v>
      </c>
      <c r="B164" s="1">
        <v>13</v>
      </c>
      <c r="C164" s="1" t="s">
        <v>5</v>
      </c>
      <c r="D164" s="1">
        <v>45</v>
      </c>
      <c r="E164" s="1">
        <v>38</v>
      </c>
      <c r="F164" s="1">
        <v>13</v>
      </c>
      <c r="G164" s="1">
        <v>6</v>
      </c>
      <c r="H164" s="1">
        <v>19</v>
      </c>
      <c r="I164" s="1">
        <v>52</v>
      </c>
      <c r="J164" s="1">
        <v>64</v>
      </c>
      <c r="K164" s="1">
        <v>-12</v>
      </c>
      <c r="L164" s="1">
        <f t="shared" si="2"/>
        <v>0.86538461538461542</v>
      </c>
    </row>
    <row r="165" spans="1:12" x14ac:dyDescent="0.25">
      <c r="A165" s="1">
        <v>2010</v>
      </c>
      <c r="B165" s="1">
        <v>14</v>
      </c>
      <c r="C165" s="1" t="s">
        <v>7</v>
      </c>
      <c r="D165" s="1">
        <v>44</v>
      </c>
      <c r="E165" s="1">
        <v>38</v>
      </c>
      <c r="F165" s="1">
        <v>9</v>
      </c>
      <c r="G165" s="1">
        <v>17</v>
      </c>
      <c r="H165" s="1">
        <v>12</v>
      </c>
      <c r="I165" s="1">
        <v>41</v>
      </c>
      <c r="J165" s="1">
        <v>44</v>
      </c>
      <c r="K165" s="1">
        <v>-3</v>
      </c>
      <c r="L165" s="1">
        <f t="shared" si="2"/>
        <v>1.0731707317073171</v>
      </c>
    </row>
    <row r="166" spans="1:12" x14ac:dyDescent="0.25">
      <c r="A166" s="1">
        <v>2010</v>
      </c>
      <c r="B166" s="1">
        <v>15</v>
      </c>
      <c r="C166" s="1" t="s">
        <v>33</v>
      </c>
      <c r="D166" s="1">
        <v>43</v>
      </c>
      <c r="E166" s="1">
        <v>38</v>
      </c>
      <c r="F166" s="1">
        <v>11</v>
      </c>
      <c r="G166" s="1">
        <v>10</v>
      </c>
      <c r="H166" s="1">
        <v>17</v>
      </c>
      <c r="I166" s="1">
        <v>49</v>
      </c>
      <c r="J166" s="1">
        <v>58</v>
      </c>
      <c r="K166" s="1">
        <v>-9</v>
      </c>
      <c r="L166" s="1">
        <f t="shared" si="2"/>
        <v>0.87755102040816324</v>
      </c>
    </row>
    <row r="167" spans="1:12" x14ac:dyDescent="0.25">
      <c r="A167" s="1">
        <v>2010</v>
      </c>
      <c r="B167" s="1">
        <v>16</v>
      </c>
      <c r="C167" s="1" t="s">
        <v>37</v>
      </c>
      <c r="D167" s="1">
        <v>42</v>
      </c>
      <c r="E167" s="1">
        <v>38</v>
      </c>
      <c r="F167" s="1">
        <v>11</v>
      </c>
      <c r="G167" s="1">
        <v>9</v>
      </c>
      <c r="H167" s="1">
        <v>18</v>
      </c>
      <c r="I167" s="1">
        <v>51</v>
      </c>
      <c r="J167" s="1">
        <v>57</v>
      </c>
      <c r="K167" s="1">
        <v>-6</v>
      </c>
      <c r="L167" s="1">
        <f t="shared" si="2"/>
        <v>0.82352941176470584</v>
      </c>
    </row>
    <row r="168" spans="1:12" x14ac:dyDescent="0.25">
      <c r="A168" s="1">
        <v>2010</v>
      </c>
      <c r="B168" s="1">
        <v>17</v>
      </c>
      <c r="C168" s="1" t="s">
        <v>15</v>
      </c>
      <c r="D168" s="1">
        <v>42</v>
      </c>
      <c r="E168" s="1">
        <v>38</v>
      </c>
      <c r="F168" s="1">
        <v>9</v>
      </c>
      <c r="G168" s="1">
        <v>15</v>
      </c>
      <c r="H168" s="1">
        <v>14</v>
      </c>
      <c r="I168" s="1">
        <v>42</v>
      </c>
      <c r="J168" s="1">
        <v>48</v>
      </c>
      <c r="K168" s="1">
        <v>-6</v>
      </c>
      <c r="L168" s="1">
        <f t="shared" si="2"/>
        <v>1</v>
      </c>
    </row>
    <row r="169" spans="1:12" x14ac:dyDescent="0.25">
      <c r="A169" s="1">
        <v>2010</v>
      </c>
      <c r="B169" s="1">
        <v>18</v>
      </c>
      <c r="C169" s="1" t="s">
        <v>12</v>
      </c>
      <c r="D169" s="1">
        <v>37</v>
      </c>
      <c r="E169" s="1">
        <v>38</v>
      </c>
      <c r="F169" s="1">
        <v>8</v>
      </c>
      <c r="G169" s="1">
        <v>13</v>
      </c>
      <c r="H169" s="1">
        <v>17</v>
      </c>
      <c r="I169" s="1">
        <v>33</v>
      </c>
      <c r="J169" s="1">
        <v>53</v>
      </c>
      <c r="K169" s="1">
        <v>-20</v>
      </c>
      <c r="L169" s="1">
        <f t="shared" si="2"/>
        <v>1.1212121212121211</v>
      </c>
    </row>
    <row r="170" spans="1:12" x14ac:dyDescent="0.25">
      <c r="A170" s="1">
        <v>2010</v>
      </c>
      <c r="B170" s="1">
        <v>19</v>
      </c>
      <c r="C170" s="1" t="s">
        <v>8</v>
      </c>
      <c r="D170" s="1">
        <v>33</v>
      </c>
      <c r="E170" s="1">
        <v>38</v>
      </c>
      <c r="F170" s="1">
        <v>8</v>
      </c>
      <c r="G170" s="1">
        <v>9</v>
      </c>
      <c r="H170" s="1">
        <v>21</v>
      </c>
      <c r="I170" s="1">
        <v>41</v>
      </c>
      <c r="J170" s="1">
        <v>68</v>
      </c>
      <c r="K170" s="1">
        <v>-27</v>
      </c>
      <c r="L170" s="1">
        <f t="shared" si="2"/>
        <v>0.80487804878048785</v>
      </c>
    </row>
    <row r="171" spans="1:12" x14ac:dyDescent="0.25">
      <c r="A171" s="1">
        <v>2010</v>
      </c>
      <c r="B171" s="1">
        <v>20</v>
      </c>
      <c r="C171" s="1" t="s">
        <v>34</v>
      </c>
      <c r="D171" s="1">
        <v>28</v>
      </c>
      <c r="E171" s="1">
        <v>38</v>
      </c>
      <c r="F171" s="1">
        <v>7</v>
      </c>
      <c r="G171" s="1">
        <v>10</v>
      </c>
      <c r="H171" s="1">
        <v>21</v>
      </c>
      <c r="I171" s="1">
        <v>39</v>
      </c>
      <c r="J171" s="1">
        <v>64</v>
      </c>
      <c r="K171" s="1">
        <v>-25</v>
      </c>
      <c r="L171" s="1">
        <f t="shared" si="2"/>
        <v>0.71794871794871795</v>
      </c>
    </row>
    <row r="172" spans="1:12" x14ac:dyDescent="0.25">
      <c r="A172" s="1">
        <v>2011</v>
      </c>
      <c r="B172" s="1">
        <v>1</v>
      </c>
      <c r="C172" s="1" t="s">
        <v>14</v>
      </c>
      <c r="D172" s="1">
        <v>71</v>
      </c>
      <c r="E172" s="1">
        <v>38</v>
      </c>
      <c r="F172" s="1">
        <v>21</v>
      </c>
      <c r="G172" s="1">
        <v>8</v>
      </c>
      <c r="H172" s="1">
        <v>9</v>
      </c>
      <c r="I172" s="1">
        <v>53</v>
      </c>
      <c r="J172" s="1">
        <v>36</v>
      </c>
      <c r="K172" s="1">
        <v>17</v>
      </c>
      <c r="L172" s="1">
        <f t="shared" si="2"/>
        <v>1.3396226415094339</v>
      </c>
    </row>
    <row r="173" spans="1:12" x14ac:dyDescent="0.25">
      <c r="A173" s="1">
        <v>2011</v>
      </c>
      <c r="B173" s="1">
        <v>2</v>
      </c>
      <c r="C173" s="1" t="s">
        <v>16</v>
      </c>
      <c r="D173" s="1">
        <v>69</v>
      </c>
      <c r="E173" s="1">
        <v>38</v>
      </c>
      <c r="F173" s="1">
        <v>19</v>
      </c>
      <c r="G173" s="1">
        <v>12</v>
      </c>
      <c r="H173" s="1">
        <v>7</v>
      </c>
      <c r="I173" s="1">
        <v>57</v>
      </c>
      <c r="J173" s="1">
        <v>40</v>
      </c>
      <c r="K173" s="1">
        <v>17</v>
      </c>
      <c r="L173" s="1">
        <f t="shared" si="2"/>
        <v>1.2105263157894737</v>
      </c>
    </row>
    <row r="174" spans="1:12" x14ac:dyDescent="0.25">
      <c r="A174" s="1">
        <v>2011</v>
      </c>
      <c r="B174" s="1">
        <v>3</v>
      </c>
      <c r="C174" s="1" t="s">
        <v>18</v>
      </c>
      <c r="D174" s="1">
        <v>63</v>
      </c>
      <c r="E174" s="1">
        <v>38</v>
      </c>
      <c r="F174" s="1">
        <v>20</v>
      </c>
      <c r="G174" s="1">
        <v>3</v>
      </c>
      <c r="H174" s="1">
        <v>15</v>
      </c>
      <c r="I174" s="1">
        <v>60</v>
      </c>
      <c r="J174" s="1">
        <v>51</v>
      </c>
      <c r="K174" s="1">
        <v>9</v>
      </c>
      <c r="L174" s="1">
        <f t="shared" si="2"/>
        <v>1.05</v>
      </c>
    </row>
    <row r="175" spans="1:12" x14ac:dyDescent="0.25">
      <c r="A175" s="1">
        <v>2011</v>
      </c>
      <c r="B175" s="1">
        <v>4</v>
      </c>
      <c r="C175" s="1" t="s">
        <v>7</v>
      </c>
      <c r="D175" s="1">
        <v>61</v>
      </c>
      <c r="E175" s="1">
        <v>38</v>
      </c>
      <c r="F175" s="1">
        <v>15</v>
      </c>
      <c r="G175" s="1">
        <v>16</v>
      </c>
      <c r="H175" s="1">
        <v>7</v>
      </c>
      <c r="I175" s="1">
        <v>59</v>
      </c>
      <c r="J175" s="1">
        <v>47</v>
      </c>
      <c r="K175" s="1">
        <v>12</v>
      </c>
      <c r="L175" s="1">
        <f t="shared" si="2"/>
        <v>1.0338983050847457</v>
      </c>
    </row>
    <row r="176" spans="1:12" x14ac:dyDescent="0.25">
      <c r="A176" s="1">
        <v>2011</v>
      </c>
      <c r="B176" s="1">
        <v>5</v>
      </c>
      <c r="C176" s="1" t="s">
        <v>6</v>
      </c>
      <c r="D176" s="1">
        <v>60</v>
      </c>
      <c r="E176" s="1">
        <v>38</v>
      </c>
      <c r="F176" s="1">
        <v>16</v>
      </c>
      <c r="G176" s="1">
        <v>12</v>
      </c>
      <c r="H176" s="1">
        <v>10</v>
      </c>
      <c r="I176" s="1">
        <v>57</v>
      </c>
      <c r="J176" s="1">
        <v>43</v>
      </c>
      <c r="K176" s="1">
        <v>14</v>
      </c>
      <c r="L176" s="1">
        <f t="shared" si="2"/>
        <v>1.0526315789473684</v>
      </c>
    </row>
    <row r="177" spans="1:12" x14ac:dyDescent="0.25">
      <c r="A177" s="1">
        <v>2011</v>
      </c>
      <c r="B177" s="1">
        <v>6</v>
      </c>
      <c r="C177" s="1" t="s">
        <v>2</v>
      </c>
      <c r="D177" s="1">
        <v>59</v>
      </c>
      <c r="E177" s="1">
        <v>38</v>
      </c>
      <c r="F177" s="1">
        <v>16</v>
      </c>
      <c r="G177" s="1">
        <v>11</v>
      </c>
      <c r="H177" s="1">
        <v>11</v>
      </c>
      <c r="I177" s="1">
        <v>57</v>
      </c>
      <c r="J177" s="1">
        <v>46</v>
      </c>
      <c r="K177" s="1">
        <v>11</v>
      </c>
      <c r="L177" s="1">
        <f t="shared" si="2"/>
        <v>1.0350877192982457</v>
      </c>
    </row>
    <row r="178" spans="1:12" x14ac:dyDescent="0.25">
      <c r="A178" s="1">
        <v>2011</v>
      </c>
      <c r="B178" s="1">
        <v>7</v>
      </c>
      <c r="C178" s="1" t="s">
        <v>10</v>
      </c>
      <c r="D178" s="1">
        <v>58</v>
      </c>
      <c r="E178" s="1">
        <v>38</v>
      </c>
      <c r="F178" s="1">
        <v>15</v>
      </c>
      <c r="G178" s="1">
        <v>13</v>
      </c>
      <c r="H178" s="1">
        <v>10</v>
      </c>
      <c r="I178" s="1">
        <v>46</v>
      </c>
      <c r="J178" s="1">
        <v>45</v>
      </c>
      <c r="K178" s="1">
        <v>1</v>
      </c>
      <c r="L178" s="1">
        <f t="shared" si="2"/>
        <v>1.2608695652173914</v>
      </c>
    </row>
    <row r="179" spans="1:12" x14ac:dyDescent="0.25">
      <c r="A179" s="1">
        <v>2011</v>
      </c>
      <c r="B179" s="1">
        <v>8</v>
      </c>
      <c r="C179" s="1" t="s">
        <v>4</v>
      </c>
      <c r="D179" s="1">
        <v>57</v>
      </c>
      <c r="E179" s="1">
        <v>38</v>
      </c>
      <c r="F179" s="1">
        <v>16</v>
      </c>
      <c r="G179" s="1">
        <v>9</v>
      </c>
      <c r="H179" s="1">
        <v>13</v>
      </c>
      <c r="I179" s="1">
        <v>57</v>
      </c>
      <c r="J179" s="1">
        <v>41</v>
      </c>
      <c r="K179" s="1">
        <v>16</v>
      </c>
      <c r="L179" s="1">
        <f t="shared" si="2"/>
        <v>1</v>
      </c>
    </row>
    <row r="180" spans="1:12" x14ac:dyDescent="0.25">
      <c r="A180" s="1">
        <v>2011</v>
      </c>
      <c r="B180" s="1">
        <v>9</v>
      </c>
      <c r="C180" s="1" t="s">
        <v>25</v>
      </c>
      <c r="D180" s="1">
        <v>56</v>
      </c>
      <c r="E180" s="1">
        <v>38</v>
      </c>
      <c r="F180" s="1">
        <v>16</v>
      </c>
      <c r="G180" s="1">
        <v>8</v>
      </c>
      <c r="H180" s="1">
        <v>14</v>
      </c>
      <c r="I180" s="1">
        <v>52</v>
      </c>
      <c r="J180" s="1">
        <v>49</v>
      </c>
      <c r="K180" s="1">
        <v>3</v>
      </c>
      <c r="L180" s="1">
        <f t="shared" si="2"/>
        <v>1.0769230769230769</v>
      </c>
    </row>
    <row r="181" spans="1:12" x14ac:dyDescent="0.25">
      <c r="A181" s="1">
        <v>2011</v>
      </c>
      <c r="B181" s="1">
        <v>10</v>
      </c>
      <c r="C181" s="1" t="s">
        <v>1</v>
      </c>
      <c r="D181" s="1">
        <v>53</v>
      </c>
      <c r="E181" s="1">
        <v>38</v>
      </c>
      <c r="F181" s="1">
        <v>15</v>
      </c>
      <c r="G181" s="1">
        <v>8</v>
      </c>
      <c r="H181" s="1">
        <v>15</v>
      </c>
      <c r="I181" s="1">
        <v>55</v>
      </c>
      <c r="J181" s="1">
        <v>55</v>
      </c>
      <c r="K181" s="1">
        <v>0</v>
      </c>
      <c r="L181" s="1">
        <f t="shared" si="2"/>
        <v>0.96363636363636362</v>
      </c>
    </row>
    <row r="182" spans="1:12" x14ac:dyDescent="0.25">
      <c r="A182" s="1">
        <v>2011</v>
      </c>
      <c r="B182" s="1">
        <v>11</v>
      </c>
      <c r="C182" s="1" t="s">
        <v>24</v>
      </c>
      <c r="D182" s="1">
        <v>50</v>
      </c>
      <c r="E182" s="1">
        <v>38</v>
      </c>
      <c r="F182" s="1">
        <v>11</v>
      </c>
      <c r="G182" s="1">
        <v>17</v>
      </c>
      <c r="H182" s="1">
        <v>10</v>
      </c>
      <c r="I182" s="1">
        <v>43</v>
      </c>
      <c r="J182" s="1">
        <v>39</v>
      </c>
      <c r="K182" s="1">
        <v>4</v>
      </c>
      <c r="L182" s="1">
        <f t="shared" si="2"/>
        <v>1.1627906976744187</v>
      </c>
    </row>
    <row r="183" spans="1:12" x14ac:dyDescent="0.25">
      <c r="A183" s="1">
        <v>2011</v>
      </c>
      <c r="B183" s="1">
        <v>12</v>
      </c>
      <c r="C183" s="1" t="s">
        <v>20</v>
      </c>
      <c r="D183" s="1">
        <v>48</v>
      </c>
      <c r="E183" s="1">
        <v>38</v>
      </c>
      <c r="F183" s="1">
        <v>13</v>
      </c>
      <c r="G183" s="1">
        <v>9</v>
      </c>
      <c r="H183" s="1">
        <v>16</v>
      </c>
      <c r="I183" s="1">
        <v>49</v>
      </c>
      <c r="J183" s="1">
        <v>57</v>
      </c>
      <c r="K183" s="1">
        <v>-8</v>
      </c>
      <c r="L183" s="1">
        <f t="shared" si="2"/>
        <v>0.97959183673469385</v>
      </c>
    </row>
    <row r="184" spans="1:12" x14ac:dyDescent="0.25">
      <c r="A184" s="1">
        <v>2011</v>
      </c>
      <c r="B184" s="1">
        <v>13</v>
      </c>
      <c r="C184" s="1" t="s">
        <v>37</v>
      </c>
      <c r="D184" s="1">
        <v>48</v>
      </c>
      <c r="E184" s="1">
        <v>38</v>
      </c>
      <c r="F184" s="1">
        <v>12</v>
      </c>
      <c r="G184" s="1">
        <v>12</v>
      </c>
      <c r="H184" s="1">
        <v>14</v>
      </c>
      <c r="I184" s="1">
        <v>50</v>
      </c>
      <c r="J184" s="1">
        <v>45</v>
      </c>
      <c r="K184" s="1">
        <v>5</v>
      </c>
      <c r="L184" s="1">
        <f t="shared" si="2"/>
        <v>0.96</v>
      </c>
    </row>
    <row r="185" spans="1:12" x14ac:dyDescent="0.25">
      <c r="A185" s="1">
        <v>2011</v>
      </c>
      <c r="B185" s="1">
        <v>14</v>
      </c>
      <c r="C185" s="1" t="s">
        <v>23</v>
      </c>
      <c r="D185" s="1">
        <v>46</v>
      </c>
      <c r="E185" s="1">
        <v>38</v>
      </c>
      <c r="F185" s="1">
        <v>11</v>
      </c>
      <c r="G185" s="1">
        <v>13</v>
      </c>
      <c r="H185" s="1">
        <v>14</v>
      </c>
      <c r="I185" s="1">
        <v>43</v>
      </c>
      <c r="J185" s="1">
        <v>49</v>
      </c>
      <c r="K185" s="1">
        <v>-6</v>
      </c>
      <c r="L185" s="1">
        <f t="shared" si="2"/>
        <v>1.069767441860465</v>
      </c>
    </row>
    <row r="186" spans="1:12" x14ac:dyDescent="0.25">
      <c r="A186" s="1">
        <v>2011</v>
      </c>
      <c r="B186" s="1">
        <v>15</v>
      </c>
      <c r="C186" s="1" t="s">
        <v>5</v>
      </c>
      <c r="D186" s="1">
        <v>45</v>
      </c>
      <c r="E186" s="1">
        <v>38</v>
      </c>
      <c r="F186" s="1">
        <v>13</v>
      </c>
      <c r="G186" s="1">
        <v>6</v>
      </c>
      <c r="H186" s="1">
        <v>19</v>
      </c>
      <c r="I186" s="1">
        <v>50</v>
      </c>
      <c r="J186" s="1">
        <v>60</v>
      </c>
      <c r="K186" s="1">
        <v>-10</v>
      </c>
      <c r="L186" s="1">
        <f t="shared" si="2"/>
        <v>0.9</v>
      </c>
    </row>
    <row r="187" spans="1:12" x14ac:dyDescent="0.25">
      <c r="A187" s="1">
        <v>2011</v>
      </c>
      <c r="B187" s="1">
        <v>16</v>
      </c>
      <c r="C187" s="1" t="s">
        <v>0</v>
      </c>
      <c r="D187" s="1">
        <v>43</v>
      </c>
      <c r="E187" s="1">
        <v>38</v>
      </c>
      <c r="F187" s="1">
        <v>11</v>
      </c>
      <c r="G187" s="1">
        <v>10</v>
      </c>
      <c r="H187" s="1">
        <v>17</v>
      </c>
      <c r="I187" s="1">
        <v>48</v>
      </c>
      <c r="J187" s="1">
        <v>51</v>
      </c>
      <c r="K187" s="1">
        <v>-3</v>
      </c>
      <c r="L187" s="1">
        <f t="shared" si="2"/>
        <v>0.89583333333333337</v>
      </c>
    </row>
    <row r="188" spans="1:12" x14ac:dyDescent="0.25">
      <c r="A188" s="1">
        <v>2011</v>
      </c>
      <c r="B188" s="1">
        <v>17</v>
      </c>
      <c r="C188" s="1" t="s">
        <v>11</v>
      </c>
      <c r="D188" s="1">
        <v>41</v>
      </c>
      <c r="E188" s="1">
        <v>38</v>
      </c>
      <c r="F188" s="1">
        <v>10</v>
      </c>
      <c r="G188" s="1">
        <v>11</v>
      </c>
      <c r="H188" s="1">
        <v>17</v>
      </c>
      <c r="I188" s="1">
        <v>38</v>
      </c>
      <c r="J188" s="1">
        <v>55</v>
      </c>
      <c r="K188" s="1">
        <v>-17</v>
      </c>
      <c r="L188" s="1">
        <f t="shared" si="2"/>
        <v>1.0789473684210527</v>
      </c>
    </row>
    <row r="189" spans="1:12" x14ac:dyDescent="0.25">
      <c r="A189" s="1">
        <v>2011</v>
      </c>
      <c r="B189" s="1">
        <v>18</v>
      </c>
      <c r="C189" s="1" t="s">
        <v>36</v>
      </c>
      <c r="D189" s="1">
        <v>39</v>
      </c>
      <c r="E189" s="1">
        <v>38</v>
      </c>
      <c r="F189" s="1">
        <v>10</v>
      </c>
      <c r="G189" s="1">
        <v>9</v>
      </c>
      <c r="H189" s="1">
        <v>19</v>
      </c>
      <c r="I189" s="1">
        <v>47</v>
      </c>
      <c r="J189" s="1">
        <v>64</v>
      </c>
      <c r="K189" s="1">
        <v>-17</v>
      </c>
      <c r="L189" s="1">
        <f t="shared" si="2"/>
        <v>0.82978723404255317</v>
      </c>
    </row>
    <row r="190" spans="1:12" x14ac:dyDescent="0.25">
      <c r="A190" s="1">
        <v>2011</v>
      </c>
      <c r="B190" s="1">
        <v>19</v>
      </c>
      <c r="C190" s="1" t="s">
        <v>38</v>
      </c>
      <c r="D190" s="1">
        <v>37</v>
      </c>
      <c r="E190" s="1">
        <v>38</v>
      </c>
      <c r="F190" s="1">
        <v>8</v>
      </c>
      <c r="G190" s="1">
        <v>13</v>
      </c>
      <c r="H190" s="1">
        <v>17</v>
      </c>
      <c r="I190" s="1">
        <v>51</v>
      </c>
      <c r="J190" s="1">
        <v>69</v>
      </c>
      <c r="K190" s="1">
        <v>-18</v>
      </c>
      <c r="L190" s="1">
        <f t="shared" si="2"/>
        <v>0.72549019607843135</v>
      </c>
    </row>
    <row r="191" spans="1:12" x14ac:dyDescent="0.25">
      <c r="A191" s="1">
        <v>2011</v>
      </c>
      <c r="B191" s="1">
        <v>20</v>
      </c>
      <c r="C191" s="1" t="s">
        <v>33</v>
      </c>
      <c r="D191" s="1">
        <v>31</v>
      </c>
      <c r="E191" s="1">
        <v>38</v>
      </c>
      <c r="F191" s="1">
        <v>7</v>
      </c>
      <c r="G191" s="1">
        <v>10</v>
      </c>
      <c r="H191" s="1">
        <v>21</v>
      </c>
      <c r="I191" s="1">
        <v>45</v>
      </c>
      <c r="J191" s="1">
        <v>75</v>
      </c>
      <c r="K191" s="1">
        <v>-30</v>
      </c>
      <c r="L191" s="1">
        <f t="shared" si="2"/>
        <v>0.68888888888888888</v>
      </c>
    </row>
    <row r="192" spans="1:12" x14ac:dyDescent="0.25">
      <c r="A192" s="1">
        <v>2012</v>
      </c>
      <c r="B192" s="1">
        <v>1</v>
      </c>
      <c r="C192" s="1" t="s">
        <v>18</v>
      </c>
      <c r="D192" s="1">
        <v>77</v>
      </c>
      <c r="E192" s="1">
        <v>38</v>
      </c>
      <c r="F192" s="1">
        <v>22</v>
      </c>
      <c r="G192" s="1">
        <v>11</v>
      </c>
      <c r="H192" s="1">
        <v>5</v>
      </c>
      <c r="I192" s="1">
        <v>61</v>
      </c>
      <c r="J192" s="1">
        <v>33</v>
      </c>
      <c r="K192" s="1">
        <v>28</v>
      </c>
      <c r="L192" s="1">
        <f t="shared" si="2"/>
        <v>1.2622950819672132</v>
      </c>
    </row>
    <row r="193" spans="1:12" x14ac:dyDescent="0.25">
      <c r="A193" s="1">
        <v>2012</v>
      </c>
      <c r="B193" s="1">
        <v>2</v>
      </c>
      <c r="C193" s="1" t="s">
        <v>5</v>
      </c>
      <c r="D193" s="1">
        <v>72</v>
      </c>
      <c r="E193" s="1">
        <v>38</v>
      </c>
      <c r="F193" s="1">
        <v>20</v>
      </c>
      <c r="G193" s="1">
        <v>12</v>
      </c>
      <c r="H193" s="1">
        <v>6</v>
      </c>
      <c r="I193" s="1">
        <v>64</v>
      </c>
      <c r="J193" s="1">
        <v>37</v>
      </c>
      <c r="K193" s="1">
        <v>27</v>
      </c>
      <c r="L193" s="1">
        <f t="shared" si="2"/>
        <v>1.125</v>
      </c>
    </row>
    <row r="194" spans="1:12" x14ac:dyDescent="0.25">
      <c r="A194" s="1">
        <v>2012</v>
      </c>
      <c r="B194" s="1">
        <v>3</v>
      </c>
      <c r="C194" s="1" t="s">
        <v>20</v>
      </c>
      <c r="D194" s="1">
        <v>71</v>
      </c>
      <c r="E194" s="1">
        <v>38</v>
      </c>
      <c r="F194" s="1">
        <v>20</v>
      </c>
      <c r="G194" s="1">
        <v>11</v>
      </c>
      <c r="H194" s="1">
        <v>7</v>
      </c>
      <c r="I194" s="1">
        <v>56</v>
      </c>
      <c r="J194" s="1">
        <v>33</v>
      </c>
      <c r="K194" s="1">
        <v>23</v>
      </c>
      <c r="L194" s="1">
        <f t="shared" si="2"/>
        <v>1.2678571428571428</v>
      </c>
    </row>
    <row r="195" spans="1:12" x14ac:dyDescent="0.25">
      <c r="A195" s="1">
        <v>2012</v>
      </c>
      <c r="B195" s="1">
        <v>4</v>
      </c>
      <c r="C195" s="1" t="s">
        <v>2</v>
      </c>
      <c r="D195" s="1">
        <v>66</v>
      </c>
      <c r="E195" s="1">
        <v>38</v>
      </c>
      <c r="F195" s="1">
        <v>20</v>
      </c>
      <c r="G195" s="1">
        <v>6</v>
      </c>
      <c r="H195" s="1">
        <v>12</v>
      </c>
      <c r="I195" s="1">
        <v>59</v>
      </c>
      <c r="J195" s="1">
        <v>37</v>
      </c>
      <c r="K195" s="1">
        <v>22</v>
      </c>
      <c r="L195" s="1">
        <f t="shared" ref="L195:L258" si="3">D195/I195</f>
        <v>1.1186440677966101</v>
      </c>
    </row>
    <row r="196" spans="1:12" x14ac:dyDescent="0.25">
      <c r="A196" s="1">
        <v>2012</v>
      </c>
      <c r="B196" s="1">
        <v>5</v>
      </c>
      <c r="C196" s="1" t="s">
        <v>16</v>
      </c>
      <c r="D196" s="1">
        <v>58</v>
      </c>
      <c r="E196" s="1">
        <v>38</v>
      </c>
      <c r="F196" s="1">
        <v>16</v>
      </c>
      <c r="G196" s="1">
        <v>10</v>
      </c>
      <c r="H196" s="1">
        <v>12</v>
      </c>
      <c r="I196" s="1">
        <v>45</v>
      </c>
      <c r="J196" s="1">
        <v>44</v>
      </c>
      <c r="K196" s="1">
        <v>1</v>
      </c>
      <c r="L196" s="1">
        <f t="shared" si="3"/>
        <v>1.288888888888889</v>
      </c>
    </row>
    <row r="197" spans="1:12" x14ac:dyDescent="0.25">
      <c r="A197" s="1">
        <v>2012</v>
      </c>
      <c r="B197" s="1">
        <v>6</v>
      </c>
      <c r="C197" s="1" t="s">
        <v>14</v>
      </c>
      <c r="D197" s="1">
        <v>57</v>
      </c>
      <c r="E197" s="1">
        <v>38</v>
      </c>
      <c r="F197" s="1">
        <v>15</v>
      </c>
      <c r="G197" s="1">
        <v>12</v>
      </c>
      <c r="H197" s="1">
        <v>11</v>
      </c>
      <c r="I197" s="1">
        <v>51</v>
      </c>
      <c r="J197" s="1">
        <v>39</v>
      </c>
      <c r="K197" s="1">
        <v>12</v>
      </c>
      <c r="L197" s="1">
        <f t="shared" si="3"/>
        <v>1.1176470588235294</v>
      </c>
    </row>
    <row r="198" spans="1:12" x14ac:dyDescent="0.25">
      <c r="A198" s="1">
        <v>2012</v>
      </c>
      <c r="B198" s="1">
        <v>7</v>
      </c>
      <c r="C198" s="1" t="s">
        <v>25</v>
      </c>
      <c r="D198" s="1">
        <v>55</v>
      </c>
      <c r="E198" s="1">
        <v>38</v>
      </c>
      <c r="F198" s="1">
        <v>15</v>
      </c>
      <c r="G198" s="1">
        <v>10</v>
      </c>
      <c r="H198" s="1">
        <v>13</v>
      </c>
      <c r="I198" s="1">
        <v>60</v>
      </c>
      <c r="J198" s="1">
        <v>50</v>
      </c>
      <c r="K198" s="1">
        <v>10</v>
      </c>
      <c r="L198" s="1">
        <f t="shared" si="3"/>
        <v>0.91666666666666663</v>
      </c>
    </row>
    <row r="199" spans="1:12" x14ac:dyDescent="0.25">
      <c r="A199" s="1">
        <v>2012</v>
      </c>
      <c r="B199" s="1">
        <v>8</v>
      </c>
      <c r="C199" s="1" t="s">
        <v>1</v>
      </c>
      <c r="D199" s="1">
        <v>53</v>
      </c>
      <c r="E199" s="1">
        <v>38</v>
      </c>
      <c r="F199" s="1">
        <v>13</v>
      </c>
      <c r="G199" s="1">
        <v>14</v>
      </c>
      <c r="H199" s="1">
        <v>11</v>
      </c>
      <c r="I199" s="1">
        <v>50</v>
      </c>
      <c r="J199" s="1">
        <v>44</v>
      </c>
      <c r="K199" s="1">
        <v>6</v>
      </c>
      <c r="L199" s="1">
        <f t="shared" si="3"/>
        <v>1.06</v>
      </c>
    </row>
    <row r="200" spans="1:12" x14ac:dyDescent="0.25">
      <c r="A200" s="1">
        <v>2012</v>
      </c>
      <c r="B200" s="1">
        <v>9</v>
      </c>
      <c r="C200" s="1" t="s">
        <v>0</v>
      </c>
      <c r="D200" s="1">
        <v>52</v>
      </c>
      <c r="E200" s="1">
        <v>38</v>
      </c>
      <c r="F200" s="1">
        <v>15</v>
      </c>
      <c r="G200" s="1">
        <v>7</v>
      </c>
      <c r="H200" s="1">
        <v>16</v>
      </c>
      <c r="I200" s="1">
        <v>47</v>
      </c>
      <c r="J200" s="1">
        <v>51</v>
      </c>
      <c r="K200" s="1">
        <v>-4</v>
      </c>
      <c r="L200" s="1">
        <f t="shared" si="3"/>
        <v>1.1063829787234043</v>
      </c>
    </row>
    <row r="201" spans="1:12" x14ac:dyDescent="0.25">
      <c r="A201" s="1">
        <v>2012</v>
      </c>
      <c r="B201" s="1">
        <v>10</v>
      </c>
      <c r="C201" s="1" t="s">
        <v>6</v>
      </c>
      <c r="D201" s="1">
        <v>52</v>
      </c>
      <c r="E201" s="1">
        <v>38</v>
      </c>
      <c r="F201" s="1">
        <v>13</v>
      </c>
      <c r="G201" s="1">
        <v>13</v>
      </c>
      <c r="H201" s="1">
        <v>12</v>
      </c>
      <c r="I201" s="1">
        <v>44</v>
      </c>
      <c r="J201" s="1">
        <v>40</v>
      </c>
      <c r="K201" s="1">
        <v>4</v>
      </c>
      <c r="L201" s="1">
        <f t="shared" si="3"/>
        <v>1.1818181818181819</v>
      </c>
    </row>
    <row r="202" spans="1:12" x14ac:dyDescent="0.25">
      <c r="A202" s="1">
        <v>2012</v>
      </c>
      <c r="B202" s="1">
        <v>11</v>
      </c>
      <c r="C202" s="1" t="s">
        <v>7</v>
      </c>
      <c r="D202" s="1">
        <v>50</v>
      </c>
      <c r="E202" s="1">
        <v>38</v>
      </c>
      <c r="F202" s="1">
        <v>12</v>
      </c>
      <c r="G202" s="1">
        <v>14</v>
      </c>
      <c r="H202" s="1">
        <v>12</v>
      </c>
      <c r="I202" s="1">
        <v>39</v>
      </c>
      <c r="J202" s="1">
        <v>46</v>
      </c>
      <c r="K202" s="1">
        <v>-7</v>
      </c>
      <c r="L202" s="1">
        <f t="shared" si="3"/>
        <v>1.2820512820512822</v>
      </c>
    </row>
    <row r="203" spans="1:12" x14ac:dyDescent="0.25">
      <c r="A203" s="1">
        <v>2012</v>
      </c>
      <c r="B203" s="1">
        <v>12</v>
      </c>
      <c r="C203" s="1" t="s">
        <v>29</v>
      </c>
      <c r="D203" s="1">
        <v>49</v>
      </c>
      <c r="E203" s="1">
        <v>38</v>
      </c>
      <c r="F203" s="1">
        <v>14</v>
      </c>
      <c r="G203" s="1">
        <v>7</v>
      </c>
      <c r="H203" s="1">
        <v>17</v>
      </c>
      <c r="I203" s="1">
        <v>44</v>
      </c>
      <c r="J203" s="1">
        <v>51</v>
      </c>
      <c r="K203" s="1">
        <v>-7</v>
      </c>
      <c r="L203" s="1">
        <f t="shared" si="3"/>
        <v>1.1136363636363635</v>
      </c>
    </row>
    <row r="204" spans="1:12" x14ac:dyDescent="0.25">
      <c r="A204" s="1">
        <v>2012</v>
      </c>
      <c r="B204" s="1">
        <v>13</v>
      </c>
      <c r="C204" s="1" t="s">
        <v>4</v>
      </c>
      <c r="D204" s="1">
        <v>48</v>
      </c>
      <c r="E204" s="1">
        <v>38</v>
      </c>
      <c r="F204" s="1">
        <v>14</v>
      </c>
      <c r="G204" s="1">
        <v>6</v>
      </c>
      <c r="H204" s="1">
        <v>18</v>
      </c>
      <c r="I204" s="1">
        <v>53</v>
      </c>
      <c r="J204" s="1">
        <v>60</v>
      </c>
      <c r="K204" s="1">
        <v>-7</v>
      </c>
      <c r="L204" s="1">
        <f t="shared" si="3"/>
        <v>0.90566037735849059</v>
      </c>
    </row>
    <row r="205" spans="1:12" x14ac:dyDescent="0.25">
      <c r="A205" s="1">
        <v>2012</v>
      </c>
      <c r="B205" s="1">
        <v>14</v>
      </c>
      <c r="C205" s="1" t="s">
        <v>19</v>
      </c>
      <c r="D205" s="1">
        <v>48</v>
      </c>
      <c r="E205" s="1">
        <v>38</v>
      </c>
      <c r="F205" s="1">
        <v>12</v>
      </c>
      <c r="G205" s="1">
        <v>12</v>
      </c>
      <c r="H205" s="1">
        <v>14</v>
      </c>
      <c r="I205" s="1">
        <v>37</v>
      </c>
      <c r="J205" s="1">
        <v>44</v>
      </c>
      <c r="K205" s="1">
        <v>-7</v>
      </c>
      <c r="L205" s="1">
        <f t="shared" si="3"/>
        <v>1.2972972972972974</v>
      </c>
    </row>
    <row r="206" spans="1:12" x14ac:dyDescent="0.25">
      <c r="A206" s="1">
        <v>2012</v>
      </c>
      <c r="B206" s="1">
        <v>15</v>
      </c>
      <c r="C206" s="1" t="s">
        <v>23</v>
      </c>
      <c r="D206" s="1">
        <v>47</v>
      </c>
      <c r="E206" s="1">
        <v>38</v>
      </c>
      <c r="F206" s="1">
        <v>11</v>
      </c>
      <c r="G206" s="1">
        <v>14</v>
      </c>
      <c r="H206" s="1">
        <v>13</v>
      </c>
      <c r="I206" s="1">
        <v>37</v>
      </c>
      <c r="J206" s="1">
        <v>41</v>
      </c>
      <c r="K206" s="1">
        <v>-4</v>
      </c>
      <c r="L206" s="1">
        <f t="shared" si="3"/>
        <v>1.2702702702702702</v>
      </c>
    </row>
    <row r="207" spans="1:12" x14ac:dyDescent="0.25">
      <c r="A207" s="1">
        <v>2012</v>
      </c>
      <c r="B207" s="1">
        <v>16</v>
      </c>
      <c r="C207" s="1" t="s">
        <v>31</v>
      </c>
      <c r="D207" s="1">
        <v>45</v>
      </c>
      <c r="E207" s="1">
        <v>38</v>
      </c>
      <c r="F207" s="1">
        <v>10</v>
      </c>
      <c r="G207" s="1">
        <v>15</v>
      </c>
      <c r="H207" s="1">
        <v>13</v>
      </c>
      <c r="I207" s="1">
        <v>39</v>
      </c>
      <c r="J207" s="1">
        <v>41</v>
      </c>
      <c r="K207" s="1">
        <v>-2</v>
      </c>
      <c r="L207" s="1">
        <f t="shared" si="3"/>
        <v>1.1538461538461537</v>
      </c>
    </row>
    <row r="208" spans="1:12" x14ac:dyDescent="0.25">
      <c r="A208" s="1">
        <v>2012</v>
      </c>
      <c r="B208" s="1">
        <v>17</v>
      </c>
      <c r="C208" s="1" t="s">
        <v>28</v>
      </c>
      <c r="D208" s="1">
        <v>41</v>
      </c>
      <c r="E208" s="1">
        <v>38</v>
      </c>
      <c r="F208" s="1">
        <v>10</v>
      </c>
      <c r="G208" s="1">
        <v>11</v>
      </c>
      <c r="H208" s="1">
        <v>17</v>
      </c>
      <c r="I208" s="1">
        <v>39</v>
      </c>
      <c r="J208" s="1">
        <v>56</v>
      </c>
      <c r="K208" s="1">
        <v>-17</v>
      </c>
      <c r="L208" s="1">
        <f t="shared" si="3"/>
        <v>1.0512820512820513</v>
      </c>
    </row>
    <row r="209" spans="1:12" x14ac:dyDescent="0.25">
      <c r="A209" s="1">
        <v>2012</v>
      </c>
      <c r="B209" s="1">
        <v>18</v>
      </c>
      <c r="C209" s="1" t="s">
        <v>24</v>
      </c>
      <c r="D209" s="1">
        <v>34</v>
      </c>
      <c r="E209" s="1">
        <v>38</v>
      </c>
      <c r="F209" s="1">
        <v>9</v>
      </c>
      <c r="G209" s="1">
        <v>7</v>
      </c>
      <c r="H209" s="1">
        <v>22</v>
      </c>
      <c r="I209" s="1">
        <v>39</v>
      </c>
      <c r="J209" s="1">
        <v>54</v>
      </c>
      <c r="K209" s="1">
        <v>-15</v>
      </c>
      <c r="L209" s="1">
        <f t="shared" si="3"/>
        <v>0.87179487179487181</v>
      </c>
    </row>
    <row r="210" spans="1:12" x14ac:dyDescent="0.25">
      <c r="A210" s="1">
        <v>2012</v>
      </c>
      <c r="B210" s="1">
        <v>19</v>
      </c>
      <c r="C210" s="1" t="s">
        <v>37</v>
      </c>
      <c r="D210" s="1">
        <v>30</v>
      </c>
      <c r="E210" s="1">
        <v>38</v>
      </c>
      <c r="F210" s="1">
        <v>7</v>
      </c>
      <c r="G210" s="1">
        <v>9</v>
      </c>
      <c r="H210" s="1">
        <v>22</v>
      </c>
      <c r="I210" s="1">
        <v>37</v>
      </c>
      <c r="J210" s="1">
        <v>67</v>
      </c>
      <c r="K210" s="1">
        <v>-30</v>
      </c>
      <c r="L210" s="1">
        <f t="shared" si="3"/>
        <v>0.81081081081081086</v>
      </c>
    </row>
    <row r="211" spans="1:12" x14ac:dyDescent="0.25">
      <c r="A211" s="1">
        <v>2012</v>
      </c>
      <c r="B211" s="1">
        <v>20</v>
      </c>
      <c r="C211" s="1" t="s">
        <v>10</v>
      </c>
      <c r="D211" s="1">
        <v>30</v>
      </c>
      <c r="E211" s="1">
        <v>38</v>
      </c>
      <c r="F211" s="1">
        <v>7</v>
      </c>
      <c r="G211" s="1">
        <v>9</v>
      </c>
      <c r="H211" s="1">
        <v>22</v>
      </c>
      <c r="I211" s="1">
        <v>39</v>
      </c>
      <c r="J211" s="1">
        <v>72</v>
      </c>
      <c r="K211" s="1">
        <v>-33</v>
      </c>
      <c r="L211" s="1">
        <f t="shared" si="3"/>
        <v>0.76923076923076927</v>
      </c>
    </row>
    <row r="212" spans="1:12" x14ac:dyDescent="0.25">
      <c r="A212" s="1">
        <v>2013</v>
      </c>
      <c r="B212" s="1">
        <v>1</v>
      </c>
      <c r="C212" s="1" t="s">
        <v>0</v>
      </c>
      <c r="D212" s="1">
        <v>76</v>
      </c>
      <c r="E212" s="1">
        <v>38</v>
      </c>
      <c r="F212" s="1">
        <v>23</v>
      </c>
      <c r="G212" s="1">
        <v>7</v>
      </c>
      <c r="H212" s="1">
        <v>8</v>
      </c>
      <c r="I212" s="1">
        <v>77</v>
      </c>
      <c r="J212" s="1">
        <v>37</v>
      </c>
      <c r="K212" s="1">
        <v>40</v>
      </c>
      <c r="L212" s="1">
        <f t="shared" si="3"/>
        <v>0.98701298701298701</v>
      </c>
    </row>
    <row r="213" spans="1:12" x14ac:dyDescent="0.25">
      <c r="A213" s="1">
        <v>2013</v>
      </c>
      <c r="B213" s="1">
        <v>2</v>
      </c>
      <c r="C213" s="1" t="s">
        <v>20</v>
      </c>
      <c r="D213" s="1">
        <v>65</v>
      </c>
      <c r="E213" s="1">
        <v>38</v>
      </c>
      <c r="F213" s="1">
        <v>18</v>
      </c>
      <c r="G213" s="1">
        <v>11</v>
      </c>
      <c r="H213" s="1">
        <v>9</v>
      </c>
      <c r="I213" s="1">
        <v>42</v>
      </c>
      <c r="J213" s="1">
        <v>35</v>
      </c>
      <c r="K213" s="1">
        <v>7</v>
      </c>
      <c r="L213" s="1">
        <f t="shared" si="3"/>
        <v>1.5476190476190477</v>
      </c>
    </row>
    <row r="214" spans="1:12" x14ac:dyDescent="0.25">
      <c r="A214" s="1">
        <v>2013</v>
      </c>
      <c r="B214" s="1">
        <v>3</v>
      </c>
      <c r="C214" s="1" t="s">
        <v>11</v>
      </c>
      <c r="D214" s="1">
        <v>64</v>
      </c>
      <c r="E214" s="1">
        <v>38</v>
      </c>
      <c r="F214" s="1">
        <v>18</v>
      </c>
      <c r="G214" s="1">
        <v>10</v>
      </c>
      <c r="H214" s="1">
        <v>10</v>
      </c>
      <c r="I214" s="1">
        <v>65</v>
      </c>
      <c r="J214" s="1">
        <v>49</v>
      </c>
      <c r="K214" s="1">
        <v>16</v>
      </c>
      <c r="L214" s="1">
        <f t="shared" si="3"/>
        <v>0.98461538461538467</v>
      </c>
    </row>
    <row r="215" spans="1:12" x14ac:dyDescent="0.25">
      <c r="A215" s="1">
        <v>2013</v>
      </c>
      <c r="B215" s="1">
        <v>4</v>
      </c>
      <c r="C215" s="1" t="s">
        <v>25</v>
      </c>
      <c r="D215" s="1">
        <v>61</v>
      </c>
      <c r="E215" s="1">
        <v>38</v>
      </c>
      <c r="F215" s="1">
        <v>17</v>
      </c>
      <c r="G215" s="1">
        <v>10</v>
      </c>
      <c r="H215" s="1">
        <v>11</v>
      </c>
      <c r="I215" s="1">
        <v>55</v>
      </c>
      <c r="J215" s="1">
        <v>41</v>
      </c>
      <c r="K215" s="1">
        <v>14</v>
      </c>
      <c r="L215" s="1">
        <f t="shared" si="3"/>
        <v>1.1090909090909091</v>
      </c>
    </row>
    <row r="216" spans="1:12" x14ac:dyDescent="0.25">
      <c r="A216" s="1">
        <v>2013</v>
      </c>
      <c r="B216" s="1">
        <v>5</v>
      </c>
      <c r="C216" s="1" t="s">
        <v>15</v>
      </c>
      <c r="D216" s="1">
        <v>59</v>
      </c>
      <c r="E216" s="1">
        <v>38</v>
      </c>
      <c r="F216" s="1">
        <v>16</v>
      </c>
      <c r="G216" s="1">
        <v>11</v>
      </c>
      <c r="H216" s="1">
        <v>11</v>
      </c>
      <c r="I216" s="1">
        <v>59</v>
      </c>
      <c r="J216" s="1">
        <v>53</v>
      </c>
      <c r="K216" s="1">
        <v>6</v>
      </c>
      <c r="L216" s="1">
        <f t="shared" si="3"/>
        <v>1</v>
      </c>
    </row>
    <row r="217" spans="1:12" x14ac:dyDescent="0.25">
      <c r="A217" s="1">
        <v>2013</v>
      </c>
      <c r="B217" s="1">
        <v>6</v>
      </c>
      <c r="C217" s="1" t="s">
        <v>8</v>
      </c>
      <c r="D217" s="1">
        <v>59</v>
      </c>
      <c r="E217" s="1">
        <v>38</v>
      </c>
      <c r="F217" s="1">
        <v>16</v>
      </c>
      <c r="G217" s="1">
        <v>11</v>
      </c>
      <c r="H217" s="1">
        <v>11</v>
      </c>
      <c r="I217" s="1">
        <v>48</v>
      </c>
      <c r="J217" s="1">
        <v>44</v>
      </c>
      <c r="K217" s="1">
        <v>4</v>
      </c>
      <c r="L217" s="1">
        <f t="shared" si="3"/>
        <v>1.2291666666666667</v>
      </c>
    </row>
    <row r="218" spans="1:12" x14ac:dyDescent="0.25">
      <c r="A218" s="1">
        <v>2013</v>
      </c>
      <c r="B218" s="1">
        <v>7</v>
      </c>
      <c r="C218" s="1" t="s">
        <v>1</v>
      </c>
      <c r="D218" s="1">
        <v>57</v>
      </c>
      <c r="E218" s="1">
        <v>38</v>
      </c>
      <c r="F218" s="1">
        <v>15</v>
      </c>
      <c r="G218" s="1">
        <v>12</v>
      </c>
      <c r="H218" s="1">
        <v>11</v>
      </c>
      <c r="I218" s="1">
        <v>51</v>
      </c>
      <c r="J218" s="1">
        <v>38</v>
      </c>
      <c r="K218" s="1">
        <v>13</v>
      </c>
      <c r="L218" s="1">
        <f t="shared" si="3"/>
        <v>1.1176470588235294</v>
      </c>
    </row>
    <row r="219" spans="1:12" x14ac:dyDescent="0.25">
      <c r="A219" s="1">
        <v>2013</v>
      </c>
      <c r="B219" s="1">
        <v>8</v>
      </c>
      <c r="C219" s="1" t="s">
        <v>5</v>
      </c>
      <c r="D219" s="1">
        <v>57</v>
      </c>
      <c r="E219" s="1">
        <v>38</v>
      </c>
      <c r="F219" s="1">
        <v>15</v>
      </c>
      <c r="G219" s="1">
        <v>12</v>
      </c>
      <c r="H219" s="1">
        <v>11</v>
      </c>
      <c r="I219" s="1">
        <v>49</v>
      </c>
      <c r="J219" s="1">
        <v>38</v>
      </c>
      <c r="K219" s="1">
        <v>11</v>
      </c>
      <c r="L219" s="1">
        <f t="shared" si="3"/>
        <v>1.1632653061224489</v>
      </c>
    </row>
    <row r="220" spans="1:12" x14ac:dyDescent="0.25">
      <c r="A220" s="1">
        <v>2013</v>
      </c>
      <c r="B220" s="1">
        <v>9</v>
      </c>
      <c r="C220" s="1" t="s">
        <v>2</v>
      </c>
      <c r="D220" s="1">
        <v>50</v>
      </c>
      <c r="E220" s="1">
        <v>38</v>
      </c>
      <c r="F220" s="1">
        <v>14</v>
      </c>
      <c r="G220" s="1">
        <v>8</v>
      </c>
      <c r="H220" s="1">
        <v>16</v>
      </c>
      <c r="I220" s="1">
        <v>39</v>
      </c>
      <c r="J220" s="1">
        <v>40</v>
      </c>
      <c r="K220" s="1">
        <v>-1</v>
      </c>
      <c r="L220" s="1">
        <f t="shared" si="3"/>
        <v>1.2820512820512822</v>
      </c>
    </row>
    <row r="221" spans="1:12" x14ac:dyDescent="0.25">
      <c r="A221" s="1">
        <v>2013</v>
      </c>
      <c r="B221" s="1">
        <v>10</v>
      </c>
      <c r="C221" s="1" t="s">
        <v>14</v>
      </c>
      <c r="D221" s="1">
        <v>50</v>
      </c>
      <c r="E221" s="1">
        <v>38</v>
      </c>
      <c r="F221" s="1">
        <v>11</v>
      </c>
      <c r="G221" s="1">
        <v>17</v>
      </c>
      <c r="H221" s="1">
        <v>10</v>
      </c>
      <c r="I221" s="1">
        <v>27</v>
      </c>
      <c r="J221" s="1">
        <v>22</v>
      </c>
      <c r="K221" s="1">
        <v>5</v>
      </c>
      <c r="L221" s="1">
        <f t="shared" si="3"/>
        <v>1.8518518518518519</v>
      </c>
    </row>
    <row r="222" spans="1:12" x14ac:dyDescent="0.25">
      <c r="A222" s="1">
        <v>2013</v>
      </c>
      <c r="B222" s="1">
        <v>11</v>
      </c>
      <c r="C222" s="1" t="s">
        <v>4</v>
      </c>
      <c r="D222" s="1">
        <v>48</v>
      </c>
      <c r="E222" s="1">
        <v>38</v>
      </c>
      <c r="F222" s="1">
        <v>12</v>
      </c>
      <c r="G222" s="1">
        <v>12</v>
      </c>
      <c r="H222" s="1">
        <v>14</v>
      </c>
      <c r="I222" s="1">
        <v>42</v>
      </c>
      <c r="J222" s="1">
        <v>45</v>
      </c>
      <c r="K222" s="1">
        <v>-3</v>
      </c>
      <c r="L222" s="1">
        <f t="shared" si="3"/>
        <v>1.1428571428571428</v>
      </c>
    </row>
    <row r="223" spans="1:12" x14ac:dyDescent="0.25">
      <c r="A223" s="1">
        <v>2013</v>
      </c>
      <c r="B223" s="1">
        <v>12</v>
      </c>
      <c r="C223" s="1" t="s">
        <v>23</v>
      </c>
      <c r="D223" s="1">
        <v>48</v>
      </c>
      <c r="E223" s="1">
        <v>38</v>
      </c>
      <c r="F223" s="1">
        <v>12</v>
      </c>
      <c r="G223" s="1">
        <v>12</v>
      </c>
      <c r="H223" s="1">
        <v>14</v>
      </c>
      <c r="I223" s="1">
        <v>37</v>
      </c>
      <c r="J223" s="1">
        <v>45</v>
      </c>
      <c r="K223" s="1">
        <v>-8</v>
      </c>
      <c r="L223" s="1">
        <f t="shared" si="3"/>
        <v>1.2972972972972974</v>
      </c>
    </row>
    <row r="224" spans="1:12" x14ac:dyDescent="0.25">
      <c r="A224" s="1">
        <v>2013</v>
      </c>
      <c r="B224" s="1">
        <v>13</v>
      </c>
      <c r="C224" s="1" t="s">
        <v>6</v>
      </c>
      <c r="D224" s="1">
        <v>48</v>
      </c>
      <c r="E224" s="1">
        <v>38</v>
      </c>
      <c r="F224" s="1">
        <v>11</v>
      </c>
      <c r="G224" s="1">
        <v>15</v>
      </c>
      <c r="H224" s="1">
        <v>12</v>
      </c>
      <c r="I224" s="1">
        <v>51</v>
      </c>
      <c r="J224" s="1">
        <v>52</v>
      </c>
      <c r="K224" s="1">
        <v>-1</v>
      </c>
      <c r="L224" s="1">
        <f t="shared" si="3"/>
        <v>0.94117647058823528</v>
      </c>
    </row>
    <row r="225" spans="1:12" x14ac:dyDescent="0.25">
      <c r="A225" s="1">
        <v>2013</v>
      </c>
      <c r="B225" s="1">
        <v>14</v>
      </c>
      <c r="C225" s="1" t="s">
        <v>13</v>
      </c>
      <c r="D225" s="1">
        <v>46</v>
      </c>
      <c r="E225" s="1">
        <v>38</v>
      </c>
      <c r="F225" s="1">
        <v>13</v>
      </c>
      <c r="G225" s="1">
        <v>7</v>
      </c>
      <c r="H225" s="1">
        <v>18</v>
      </c>
      <c r="I225" s="1">
        <v>49</v>
      </c>
      <c r="J225" s="1">
        <v>63</v>
      </c>
      <c r="K225" s="1">
        <v>-14</v>
      </c>
      <c r="L225" s="1">
        <f t="shared" si="3"/>
        <v>0.93877551020408168</v>
      </c>
    </row>
    <row r="226" spans="1:12" x14ac:dyDescent="0.25">
      <c r="A226" s="1">
        <v>2013</v>
      </c>
      <c r="B226" s="1">
        <v>15</v>
      </c>
      <c r="C226" s="1" t="s">
        <v>18</v>
      </c>
      <c r="D226" s="1">
        <v>46</v>
      </c>
      <c r="E226" s="1">
        <v>38</v>
      </c>
      <c r="F226" s="1">
        <v>12</v>
      </c>
      <c r="G226" s="1">
        <v>10</v>
      </c>
      <c r="H226" s="1">
        <v>16</v>
      </c>
      <c r="I226" s="1">
        <v>43</v>
      </c>
      <c r="J226" s="1">
        <v>47</v>
      </c>
      <c r="K226" s="1">
        <v>-4</v>
      </c>
      <c r="L226" s="1">
        <f t="shared" si="3"/>
        <v>1.069767441860465</v>
      </c>
    </row>
    <row r="227" spans="1:12" x14ac:dyDescent="0.25">
      <c r="A227" s="1">
        <v>2013</v>
      </c>
      <c r="B227" s="1">
        <v>16</v>
      </c>
      <c r="C227" s="1" t="s">
        <v>7</v>
      </c>
      <c r="D227" s="1">
        <v>45</v>
      </c>
      <c r="E227" s="1">
        <v>38</v>
      </c>
      <c r="F227" s="1">
        <v>12</v>
      </c>
      <c r="G227" s="1">
        <v>13</v>
      </c>
      <c r="H227" s="1">
        <v>13</v>
      </c>
      <c r="I227" s="1">
        <v>43</v>
      </c>
      <c r="J227" s="1">
        <v>46</v>
      </c>
      <c r="K227" s="1">
        <v>-3</v>
      </c>
      <c r="L227" s="1">
        <f t="shared" si="3"/>
        <v>1.0465116279069768</v>
      </c>
    </row>
    <row r="228" spans="1:12" x14ac:dyDescent="0.25">
      <c r="A228" s="1">
        <v>2013</v>
      </c>
      <c r="B228" s="1">
        <v>17</v>
      </c>
      <c r="C228" s="1" t="s">
        <v>31</v>
      </c>
      <c r="D228" s="1">
        <v>44</v>
      </c>
      <c r="E228" s="1">
        <v>38</v>
      </c>
      <c r="F228" s="1">
        <v>12</v>
      </c>
      <c r="G228" s="1">
        <v>12</v>
      </c>
      <c r="H228" s="1">
        <v>14</v>
      </c>
      <c r="I228" s="1">
        <v>50</v>
      </c>
      <c r="J228" s="1">
        <v>46</v>
      </c>
      <c r="K228" s="1">
        <v>4</v>
      </c>
      <c r="L228" s="1">
        <f t="shared" si="3"/>
        <v>0.88</v>
      </c>
    </row>
    <row r="229" spans="1:12" x14ac:dyDescent="0.25">
      <c r="A229" s="1">
        <v>2013</v>
      </c>
      <c r="B229" s="1">
        <v>18</v>
      </c>
      <c r="C229" s="1" t="s">
        <v>16</v>
      </c>
      <c r="D229" s="1">
        <v>44</v>
      </c>
      <c r="E229" s="1">
        <v>38</v>
      </c>
      <c r="F229" s="1">
        <v>11</v>
      </c>
      <c r="G229" s="1">
        <v>11</v>
      </c>
      <c r="H229" s="1">
        <v>16</v>
      </c>
      <c r="I229" s="1">
        <v>50</v>
      </c>
      <c r="J229" s="1">
        <v>61</v>
      </c>
      <c r="K229" s="1">
        <v>-11</v>
      </c>
      <c r="L229" s="1">
        <f t="shared" si="3"/>
        <v>0.88</v>
      </c>
    </row>
    <row r="230" spans="1:12" x14ac:dyDescent="0.25">
      <c r="A230" s="1">
        <v>2013</v>
      </c>
      <c r="B230" s="1">
        <v>19</v>
      </c>
      <c r="C230" s="1" t="s">
        <v>19</v>
      </c>
      <c r="D230" s="1">
        <v>37</v>
      </c>
      <c r="E230" s="1">
        <v>38</v>
      </c>
      <c r="F230" s="1">
        <v>9</v>
      </c>
      <c r="G230" s="1">
        <v>10</v>
      </c>
      <c r="H230" s="1">
        <v>19</v>
      </c>
      <c r="I230" s="1">
        <v>37</v>
      </c>
      <c r="J230" s="1">
        <v>55</v>
      </c>
      <c r="K230" s="1">
        <v>-18</v>
      </c>
      <c r="L230" s="1">
        <f t="shared" si="3"/>
        <v>1</v>
      </c>
    </row>
    <row r="231" spans="1:12" x14ac:dyDescent="0.25">
      <c r="A231" s="1">
        <v>2013</v>
      </c>
      <c r="B231" s="1">
        <v>20</v>
      </c>
      <c r="C231" s="1" t="s">
        <v>29</v>
      </c>
      <c r="D231" s="1">
        <v>20</v>
      </c>
      <c r="E231" s="1">
        <v>38</v>
      </c>
      <c r="F231" s="1">
        <v>5</v>
      </c>
      <c r="G231" s="1">
        <v>5</v>
      </c>
      <c r="H231" s="1">
        <v>28</v>
      </c>
      <c r="I231" s="1">
        <v>22</v>
      </c>
      <c r="J231" s="1">
        <v>79</v>
      </c>
      <c r="K231" s="1">
        <v>-57</v>
      </c>
      <c r="L231" s="1">
        <f t="shared" si="3"/>
        <v>0.90909090909090906</v>
      </c>
    </row>
    <row r="232" spans="1:12" x14ac:dyDescent="0.25">
      <c r="A232" s="1">
        <v>2014</v>
      </c>
      <c r="B232" s="1">
        <v>1</v>
      </c>
      <c r="C232" s="1" t="s">
        <v>0</v>
      </c>
      <c r="D232" s="1">
        <v>80</v>
      </c>
      <c r="E232" s="1">
        <v>38</v>
      </c>
      <c r="F232" s="1">
        <v>24</v>
      </c>
      <c r="G232" s="1">
        <v>8</v>
      </c>
      <c r="H232" s="1">
        <v>6</v>
      </c>
      <c r="I232" s="1">
        <v>67</v>
      </c>
      <c r="J232" s="1">
        <v>38</v>
      </c>
      <c r="K232" s="1">
        <v>29</v>
      </c>
      <c r="L232" s="1">
        <f t="shared" si="3"/>
        <v>1.1940298507462686</v>
      </c>
    </row>
    <row r="233" spans="1:12" x14ac:dyDescent="0.25">
      <c r="A233" s="1">
        <v>2014</v>
      </c>
      <c r="B233" s="1">
        <v>2</v>
      </c>
      <c r="C233" s="1" t="s">
        <v>2</v>
      </c>
      <c r="D233" s="1">
        <v>70</v>
      </c>
      <c r="E233" s="1">
        <v>38</v>
      </c>
      <c r="F233" s="1">
        <v>20</v>
      </c>
      <c r="G233" s="1">
        <v>10</v>
      </c>
      <c r="H233" s="1">
        <v>8</v>
      </c>
      <c r="I233" s="1">
        <v>59</v>
      </c>
      <c r="J233" s="1">
        <v>40</v>
      </c>
      <c r="K233" s="1">
        <v>19</v>
      </c>
      <c r="L233" s="1">
        <f t="shared" si="3"/>
        <v>1.1864406779661016</v>
      </c>
    </row>
    <row r="234" spans="1:12" x14ac:dyDescent="0.25">
      <c r="A234" s="1">
        <v>2014</v>
      </c>
      <c r="B234" s="1">
        <v>3</v>
      </c>
      <c r="C234" s="1" t="s">
        <v>6</v>
      </c>
      <c r="D234" s="1">
        <v>69</v>
      </c>
      <c r="E234" s="1">
        <v>38</v>
      </c>
      <c r="F234" s="1">
        <v>21</v>
      </c>
      <c r="G234" s="1">
        <v>6</v>
      </c>
      <c r="H234" s="1">
        <v>11</v>
      </c>
      <c r="I234" s="1">
        <v>53</v>
      </c>
      <c r="J234" s="1">
        <v>41</v>
      </c>
      <c r="K234" s="1">
        <v>12</v>
      </c>
      <c r="L234" s="1">
        <f t="shared" si="3"/>
        <v>1.3018867924528301</v>
      </c>
    </row>
    <row r="235" spans="1:12" x14ac:dyDescent="0.25">
      <c r="A235" s="1">
        <v>2014</v>
      </c>
      <c r="B235" s="1">
        <v>4</v>
      </c>
      <c r="C235" s="1" t="s">
        <v>14</v>
      </c>
      <c r="D235" s="1">
        <v>69</v>
      </c>
      <c r="E235" s="1">
        <v>38</v>
      </c>
      <c r="F235" s="1">
        <v>19</v>
      </c>
      <c r="G235" s="1">
        <v>12</v>
      </c>
      <c r="H235" s="1">
        <v>7</v>
      </c>
      <c r="I235" s="1">
        <v>49</v>
      </c>
      <c r="J235" s="1">
        <v>31</v>
      </c>
      <c r="K235" s="1">
        <v>18</v>
      </c>
      <c r="L235" s="1">
        <f t="shared" si="3"/>
        <v>1.4081632653061225</v>
      </c>
    </row>
    <row r="236" spans="1:12" x14ac:dyDescent="0.25">
      <c r="A236" s="1">
        <v>2014</v>
      </c>
      <c r="B236" s="1">
        <v>5</v>
      </c>
      <c r="C236" s="1" t="s">
        <v>5</v>
      </c>
      <c r="D236" s="1">
        <v>62</v>
      </c>
      <c r="E236" s="1">
        <v>38</v>
      </c>
      <c r="F236" s="1">
        <v>17</v>
      </c>
      <c r="G236" s="1">
        <v>11</v>
      </c>
      <c r="H236" s="1">
        <v>10</v>
      </c>
      <c r="I236" s="1">
        <v>51</v>
      </c>
      <c r="J236" s="1">
        <v>38</v>
      </c>
      <c r="K236" s="1">
        <v>13</v>
      </c>
      <c r="L236" s="1">
        <f t="shared" si="3"/>
        <v>1.2156862745098038</v>
      </c>
    </row>
    <row r="237" spans="1:12" x14ac:dyDescent="0.25">
      <c r="A237" s="1">
        <v>2014</v>
      </c>
      <c r="B237" s="1">
        <v>6</v>
      </c>
      <c r="C237" s="1" t="s">
        <v>18</v>
      </c>
      <c r="D237" s="1">
        <v>61</v>
      </c>
      <c r="E237" s="1">
        <v>38</v>
      </c>
      <c r="F237" s="1">
        <v>17</v>
      </c>
      <c r="G237" s="1">
        <v>10</v>
      </c>
      <c r="H237" s="1">
        <v>11</v>
      </c>
      <c r="I237" s="1">
        <v>61</v>
      </c>
      <c r="J237" s="1">
        <v>42</v>
      </c>
      <c r="K237" s="1">
        <v>19</v>
      </c>
      <c r="L237" s="1">
        <f t="shared" si="3"/>
        <v>1</v>
      </c>
    </row>
    <row r="238" spans="1:12" x14ac:dyDescent="0.25">
      <c r="A238" s="1">
        <v>2014</v>
      </c>
      <c r="B238" s="1">
        <v>7</v>
      </c>
      <c r="C238" s="1" t="s">
        <v>20</v>
      </c>
      <c r="D238" s="1">
        <v>61</v>
      </c>
      <c r="E238" s="1">
        <v>38</v>
      </c>
      <c r="F238" s="1">
        <v>17</v>
      </c>
      <c r="G238" s="1">
        <v>10</v>
      </c>
      <c r="H238" s="1">
        <v>11</v>
      </c>
      <c r="I238" s="1">
        <v>36</v>
      </c>
      <c r="J238" s="1">
        <v>24</v>
      </c>
      <c r="K238" s="1">
        <v>12</v>
      </c>
      <c r="L238" s="1">
        <f t="shared" si="3"/>
        <v>1.6944444444444444</v>
      </c>
    </row>
    <row r="239" spans="1:12" x14ac:dyDescent="0.25">
      <c r="A239" s="1">
        <v>2014</v>
      </c>
      <c r="B239" s="1">
        <v>8</v>
      </c>
      <c r="C239" s="1" t="s">
        <v>11</v>
      </c>
      <c r="D239" s="1">
        <v>54</v>
      </c>
      <c r="E239" s="1">
        <v>38</v>
      </c>
      <c r="F239" s="1">
        <v>15</v>
      </c>
      <c r="G239" s="1">
        <v>9</v>
      </c>
      <c r="H239" s="1">
        <v>14</v>
      </c>
      <c r="I239" s="1">
        <v>43</v>
      </c>
      <c r="J239" s="1">
        <v>42</v>
      </c>
      <c r="K239" s="1">
        <v>1</v>
      </c>
      <c r="L239" s="1">
        <f t="shared" si="3"/>
        <v>1.2558139534883721</v>
      </c>
    </row>
    <row r="240" spans="1:12" x14ac:dyDescent="0.25">
      <c r="A240" s="1">
        <v>2014</v>
      </c>
      <c r="B240" s="1">
        <v>9</v>
      </c>
      <c r="C240" s="1" t="s">
        <v>1</v>
      </c>
      <c r="D240" s="1">
        <v>53</v>
      </c>
      <c r="E240" s="1">
        <v>38</v>
      </c>
      <c r="F240" s="1">
        <v>15</v>
      </c>
      <c r="G240" s="1">
        <v>8</v>
      </c>
      <c r="H240" s="1">
        <v>15</v>
      </c>
      <c r="I240" s="1">
        <v>42</v>
      </c>
      <c r="J240" s="1">
        <v>35</v>
      </c>
      <c r="K240" s="1">
        <v>7</v>
      </c>
      <c r="L240" s="1">
        <f t="shared" si="3"/>
        <v>1.2619047619047619</v>
      </c>
    </row>
    <row r="241" spans="1:12" x14ac:dyDescent="0.25">
      <c r="A241" s="1">
        <v>2014</v>
      </c>
      <c r="B241" s="1">
        <v>10</v>
      </c>
      <c r="C241" s="1" t="s">
        <v>7</v>
      </c>
      <c r="D241" s="1">
        <v>52</v>
      </c>
      <c r="E241" s="1">
        <v>38</v>
      </c>
      <c r="F241" s="1">
        <v>14</v>
      </c>
      <c r="G241" s="1">
        <v>10</v>
      </c>
      <c r="H241" s="1">
        <v>14</v>
      </c>
      <c r="I241" s="1">
        <v>46</v>
      </c>
      <c r="J241" s="1">
        <v>47</v>
      </c>
      <c r="K241" s="1">
        <v>-1</v>
      </c>
      <c r="L241" s="1">
        <f t="shared" si="3"/>
        <v>1.1304347826086956</v>
      </c>
    </row>
    <row r="242" spans="1:12" x14ac:dyDescent="0.25">
      <c r="A242" s="1">
        <v>2014</v>
      </c>
      <c r="B242" s="1">
        <v>11</v>
      </c>
      <c r="C242" s="1" t="s">
        <v>28</v>
      </c>
      <c r="D242" s="1">
        <v>52</v>
      </c>
      <c r="E242" s="1">
        <v>38</v>
      </c>
      <c r="F242" s="1">
        <v>14</v>
      </c>
      <c r="G242" s="1">
        <v>10</v>
      </c>
      <c r="H242" s="1">
        <v>14</v>
      </c>
      <c r="I242" s="1">
        <v>36</v>
      </c>
      <c r="J242" s="1">
        <v>46</v>
      </c>
      <c r="K242" s="1">
        <v>-10</v>
      </c>
      <c r="L242" s="1">
        <f t="shared" si="3"/>
        <v>1.4444444444444444</v>
      </c>
    </row>
    <row r="243" spans="1:12" x14ac:dyDescent="0.25">
      <c r="A243" s="1">
        <v>2014</v>
      </c>
      <c r="B243" s="1">
        <v>12</v>
      </c>
      <c r="C243" s="1" t="s">
        <v>8</v>
      </c>
      <c r="D243" s="1">
        <v>47</v>
      </c>
      <c r="E243" s="1">
        <v>38</v>
      </c>
      <c r="F243" s="1">
        <v>13</v>
      </c>
      <c r="G243" s="1">
        <v>8</v>
      </c>
      <c r="H243" s="1">
        <v>17</v>
      </c>
      <c r="I243" s="1">
        <v>38</v>
      </c>
      <c r="J243" s="1">
        <v>40</v>
      </c>
      <c r="K243" s="1">
        <v>-2</v>
      </c>
      <c r="L243" s="1">
        <f t="shared" si="3"/>
        <v>1.236842105263158</v>
      </c>
    </row>
    <row r="244" spans="1:12" x14ac:dyDescent="0.25">
      <c r="A244" s="1">
        <v>2014</v>
      </c>
      <c r="B244" s="1">
        <v>13</v>
      </c>
      <c r="C244" s="1" t="s">
        <v>10</v>
      </c>
      <c r="D244" s="1">
        <v>47</v>
      </c>
      <c r="E244" s="1">
        <v>38</v>
      </c>
      <c r="F244" s="1">
        <v>13</v>
      </c>
      <c r="G244" s="1">
        <v>8</v>
      </c>
      <c r="H244" s="1">
        <v>17</v>
      </c>
      <c r="I244" s="1">
        <v>37</v>
      </c>
      <c r="J244" s="1">
        <v>47</v>
      </c>
      <c r="K244" s="1">
        <v>-10</v>
      </c>
      <c r="L244" s="1">
        <f t="shared" si="3"/>
        <v>1.2702702702702702</v>
      </c>
    </row>
    <row r="245" spans="1:12" x14ac:dyDescent="0.25">
      <c r="A245" s="1">
        <v>2014</v>
      </c>
      <c r="B245" s="1">
        <v>14</v>
      </c>
      <c r="C245" s="1" t="s">
        <v>4</v>
      </c>
      <c r="D245" s="1">
        <v>47</v>
      </c>
      <c r="E245" s="1">
        <v>38</v>
      </c>
      <c r="F245" s="1">
        <v>12</v>
      </c>
      <c r="G245" s="1">
        <v>11</v>
      </c>
      <c r="H245" s="1">
        <v>15</v>
      </c>
      <c r="I245" s="1">
        <v>42</v>
      </c>
      <c r="J245" s="1">
        <v>45</v>
      </c>
      <c r="K245" s="1">
        <v>-3</v>
      </c>
      <c r="L245" s="1">
        <f t="shared" si="3"/>
        <v>1.1190476190476191</v>
      </c>
    </row>
    <row r="246" spans="1:12" x14ac:dyDescent="0.25">
      <c r="A246" s="1">
        <v>2014</v>
      </c>
      <c r="B246" s="1">
        <v>15</v>
      </c>
      <c r="C246" s="1" t="s">
        <v>39</v>
      </c>
      <c r="D246" s="1">
        <v>43</v>
      </c>
      <c r="E246" s="1">
        <v>38</v>
      </c>
      <c r="F246" s="1">
        <v>11</v>
      </c>
      <c r="G246" s="1">
        <v>10</v>
      </c>
      <c r="H246" s="1">
        <v>17</v>
      </c>
      <c r="I246" s="1">
        <v>39</v>
      </c>
      <c r="J246" s="1">
        <v>44</v>
      </c>
      <c r="K246" s="1">
        <v>-5</v>
      </c>
      <c r="L246" s="1">
        <f t="shared" si="3"/>
        <v>1.1025641025641026</v>
      </c>
    </row>
    <row r="247" spans="1:12" x14ac:dyDescent="0.25">
      <c r="A247" s="1">
        <v>2014</v>
      </c>
      <c r="B247" s="1">
        <v>16</v>
      </c>
      <c r="C247" s="1" t="s">
        <v>24</v>
      </c>
      <c r="D247" s="1">
        <v>40</v>
      </c>
      <c r="E247" s="1">
        <v>38</v>
      </c>
      <c r="F247" s="1">
        <v>11</v>
      </c>
      <c r="G247" s="1">
        <v>7</v>
      </c>
      <c r="H247" s="1">
        <v>20</v>
      </c>
      <c r="I247" s="1">
        <v>34</v>
      </c>
      <c r="J247" s="1">
        <v>59</v>
      </c>
      <c r="K247" s="1">
        <v>-25</v>
      </c>
      <c r="L247" s="1">
        <f t="shared" si="3"/>
        <v>1.1764705882352942</v>
      </c>
    </row>
    <row r="248" spans="1:12" x14ac:dyDescent="0.25">
      <c r="A248" s="1">
        <v>2014</v>
      </c>
      <c r="B248" s="1">
        <v>17</v>
      </c>
      <c r="C248" s="1" t="s">
        <v>15</v>
      </c>
      <c r="D248" s="1">
        <v>38</v>
      </c>
      <c r="E248" s="1">
        <v>38</v>
      </c>
      <c r="F248" s="1">
        <v>10</v>
      </c>
      <c r="G248" s="1">
        <v>8</v>
      </c>
      <c r="H248" s="1">
        <v>20</v>
      </c>
      <c r="I248" s="1">
        <v>37</v>
      </c>
      <c r="J248" s="1">
        <v>54</v>
      </c>
      <c r="K248" s="1">
        <v>-17</v>
      </c>
      <c r="L248" s="1">
        <f t="shared" si="3"/>
        <v>1.027027027027027</v>
      </c>
    </row>
    <row r="249" spans="1:12" x14ac:dyDescent="0.25">
      <c r="A249" s="1">
        <v>2014</v>
      </c>
      <c r="B249" s="1">
        <v>18</v>
      </c>
      <c r="C249" s="1" t="s">
        <v>23</v>
      </c>
      <c r="D249" s="1">
        <v>37</v>
      </c>
      <c r="E249" s="1">
        <v>38</v>
      </c>
      <c r="F249" s="1">
        <v>9</v>
      </c>
      <c r="G249" s="1">
        <v>10</v>
      </c>
      <c r="H249" s="1">
        <v>19</v>
      </c>
      <c r="I249" s="1">
        <v>31</v>
      </c>
      <c r="J249" s="1">
        <v>43</v>
      </c>
      <c r="K249" s="1">
        <v>-12</v>
      </c>
      <c r="L249" s="1">
        <f t="shared" si="3"/>
        <v>1.1935483870967742</v>
      </c>
    </row>
    <row r="250" spans="1:12" x14ac:dyDescent="0.25">
      <c r="A250" s="1">
        <v>2014</v>
      </c>
      <c r="B250" s="1">
        <v>19</v>
      </c>
      <c r="C250" s="1" t="s">
        <v>25</v>
      </c>
      <c r="D250" s="1">
        <v>34</v>
      </c>
      <c r="E250" s="1">
        <v>38</v>
      </c>
      <c r="F250" s="1">
        <v>9</v>
      </c>
      <c r="G250" s="1">
        <v>7</v>
      </c>
      <c r="H250" s="1">
        <v>22</v>
      </c>
      <c r="I250" s="1">
        <v>31</v>
      </c>
      <c r="J250" s="1">
        <v>48</v>
      </c>
      <c r="K250" s="1">
        <v>-17</v>
      </c>
      <c r="L250" s="1">
        <f t="shared" si="3"/>
        <v>1.096774193548387</v>
      </c>
    </row>
    <row r="251" spans="1:12" x14ac:dyDescent="0.25">
      <c r="A251" s="1">
        <v>2014</v>
      </c>
      <c r="B251" s="1">
        <v>20</v>
      </c>
      <c r="C251" s="1" t="s">
        <v>13</v>
      </c>
      <c r="D251" s="1">
        <v>32</v>
      </c>
      <c r="E251" s="1">
        <v>38</v>
      </c>
      <c r="F251" s="1">
        <v>7</v>
      </c>
      <c r="G251" s="1">
        <v>11</v>
      </c>
      <c r="H251" s="1">
        <v>20</v>
      </c>
      <c r="I251" s="1">
        <v>28</v>
      </c>
      <c r="J251" s="1">
        <v>56</v>
      </c>
      <c r="K251" s="1">
        <v>-28</v>
      </c>
      <c r="L251" s="1">
        <f t="shared" si="3"/>
        <v>1.1428571428571428</v>
      </c>
    </row>
    <row r="252" spans="1:12" x14ac:dyDescent="0.25">
      <c r="A252" s="1">
        <v>2015</v>
      </c>
      <c r="B252" s="1">
        <v>1</v>
      </c>
      <c r="C252" s="1" t="s">
        <v>14</v>
      </c>
      <c r="D252" s="1">
        <v>81</v>
      </c>
      <c r="E252" s="1">
        <v>38</v>
      </c>
      <c r="F252" s="1">
        <v>24</v>
      </c>
      <c r="G252" s="1">
        <v>9</v>
      </c>
      <c r="H252" s="1">
        <v>5</v>
      </c>
      <c r="I252" s="1">
        <v>71</v>
      </c>
      <c r="J252" s="1">
        <v>31</v>
      </c>
      <c r="K252" s="1">
        <v>40</v>
      </c>
      <c r="L252" s="1">
        <f t="shared" si="3"/>
        <v>1.1408450704225352</v>
      </c>
    </row>
    <row r="253" spans="1:12" x14ac:dyDescent="0.25">
      <c r="A253" s="1">
        <v>2015</v>
      </c>
      <c r="B253" s="1">
        <v>2</v>
      </c>
      <c r="C253" s="1" t="s">
        <v>5</v>
      </c>
      <c r="D253" s="1">
        <v>69</v>
      </c>
      <c r="E253" s="1">
        <v>38</v>
      </c>
      <c r="F253" s="1">
        <v>21</v>
      </c>
      <c r="G253" s="1">
        <v>6</v>
      </c>
      <c r="H253" s="1">
        <v>11</v>
      </c>
      <c r="I253" s="1">
        <v>65</v>
      </c>
      <c r="J253" s="1">
        <v>47</v>
      </c>
      <c r="K253" s="1">
        <v>18</v>
      </c>
      <c r="L253" s="1">
        <f t="shared" si="3"/>
        <v>1.0615384615384615</v>
      </c>
    </row>
    <row r="254" spans="1:12" x14ac:dyDescent="0.25">
      <c r="A254" s="1">
        <v>2015</v>
      </c>
      <c r="B254" s="1">
        <v>3</v>
      </c>
      <c r="C254" s="1" t="s">
        <v>20</v>
      </c>
      <c r="D254" s="1">
        <v>68</v>
      </c>
      <c r="E254" s="1">
        <v>38</v>
      </c>
      <c r="F254" s="1">
        <v>20</v>
      </c>
      <c r="G254" s="1">
        <v>8</v>
      </c>
      <c r="H254" s="1">
        <v>10</v>
      </c>
      <c r="I254" s="1">
        <v>52</v>
      </c>
      <c r="J254" s="1">
        <v>32</v>
      </c>
      <c r="K254" s="1">
        <v>20</v>
      </c>
      <c r="L254" s="1">
        <f t="shared" si="3"/>
        <v>1.3076923076923077</v>
      </c>
    </row>
    <row r="255" spans="1:12" x14ac:dyDescent="0.25">
      <c r="A255" s="1">
        <v>2015</v>
      </c>
      <c r="B255" s="1">
        <v>4</v>
      </c>
      <c r="C255" s="1" t="s">
        <v>2</v>
      </c>
      <c r="D255" s="1">
        <v>62</v>
      </c>
      <c r="E255" s="1">
        <v>38</v>
      </c>
      <c r="F255" s="1">
        <v>18</v>
      </c>
      <c r="G255" s="1">
        <v>8</v>
      </c>
      <c r="H255" s="1">
        <v>12</v>
      </c>
      <c r="I255" s="1">
        <v>53</v>
      </c>
      <c r="J255" s="1">
        <v>47</v>
      </c>
      <c r="K255" s="1">
        <v>6</v>
      </c>
      <c r="L255" s="1">
        <f t="shared" si="3"/>
        <v>1.1698113207547169</v>
      </c>
    </row>
    <row r="256" spans="1:12" x14ac:dyDescent="0.25">
      <c r="A256" s="1">
        <v>2015</v>
      </c>
      <c r="B256" s="1">
        <v>5</v>
      </c>
      <c r="C256" s="1" t="s">
        <v>6</v>
      </c>
      <c r="D256" s="1">
        <v>60</v>
      </c>
      <c r="E256" s="1">
        <v>38</v>
      </c>
      <c r="F256" s="1">
        <v>17</v>
      </c>
      <c r="G256" s="1">
        <v>9</v>
      </c>
      <c r="H256" s="1">
        <v>12</v>
      </c>
      <c r="I256" s="1">
        <v>39</v>
      </c>
      <c r="J256" s="1">
        <v>38</v>
      </c>
      <c r="K256" s="1">
        <v>1</v>
      </c>
      <c r="L256" s="1">
        <f t="shared" si="3"/>
        <v>1.5384615384615385</v>
      </c>
    </row>
    <row r="257" spans="1:12" x14ac:dyDescent="0.25">
      <c r="A257" s="1">
        <v>2015</v>
      </c>
      <c r="B257" s="1">
        <v>6</v>
      </c>
      <c r="C257" s="1" t="s">
        <v>28</v>
      </c>
      <c r="D257" s="1">
        <v>59</v>
      </c>
      <c r="E257" s="1">
        <v>38</v>
      </c>
      <c r="F257" s="1">
        <v>15</v>
      </c>
      <c r="G257" s="1">
        <v>14</v>
      </c>
      <c r="H257" s="1">
        <v>9</v>
      </c>
      <c r="I257" s="1">
        <v>53</v>
      </c>
      <c r="J257" s="1">
        <v>38</v>
      </c>
      <c r="K257" s="1">
        <v>15</v>
      </c>
      <c r="L257" s="1">
        <f t="shared" si="3"/>
        <v>1.1132075471698113</v>
      </c>
    </row>
    <row r="258" spans="1:12" x14ac:dyDescent="0.25">
      <c r="A258" s="1">
        <v>2015</v>
      </c>
      <c r="B258" s="1">
        <v>7</v>
      </c>
      <c r="C258" s="1" t="s">
        <v>1</v>
      </c>
      <c r="D258" s="1">
        <v>58</v>
      </c>
      <c r="E258" s="1">
        <v>38</v>
      </c>
      <c r="F258" s="1">
        <v>16</v>
      </c>
      <c r="G258" s="1">
        <v>10</v>
      </c>
      <c r="H258" s="1">
        <v>12</v>
      </c>
      <c r="I258" s="1">
        <v>59</v>
      </c>
      <c r="J258" s="1">
        <v>41</v>
      </c>
      <c r="K258" s="1">
        <v>18</v>
      </c>
      <c r="L258" s="1">
        <f t="shared" si="3"/>
        <v>0.98305084745762716</v>
      </c>
    </row>
    <row r="259" spans="1:12" x14ac:dyDescent="0.25">
      <c r="A259" s="1">
        <v>2015</v>
      </c>
      <c r="B259" s="1">
        <v>8</v>
      </c>
      <c r="C259" s="1" t="s">
        <v>0</v>
      </c>
      <c r="D259" s="1">
        <v>55</v>
      </c>
      <c r="E259" s="1">
        <v>38</v>
      </c>
      <c r="F259" s="1">
        <v>15</v>
      </c>
      <c r="G259" s="1">
        <v>10</v>
      </c>
      <c r="H259" s="1">
        <v>13</v>
      </c>
      <c r="I259" s="1">
        <v>44</v>
      </c>
      <c r="J259" s="1">
        <v>35</v>
      </c>
      <c r="K259" s="1">
        <v>9</v>
      </c>
      <c r="L259" s="1">
        <f t="shared" ref="L259:L322" si="4">D259/I259</f>
        <v>1.25</v>
      </c>
    </row>
    <row r="260" spans="1:12" x14ac:dyDescent="0.25">
      <c r="A260" s="1">
        <v>2015</v>
      </c>
      <c r="B260" s="1">
        <v>9</v>
      </c>
      <c r="C260" s="1" t="s">
        <v>24</v>
      </c>
      <c r="D260" s="1">
        <v>53</v>
      </c>
      <c r="E260" s="1">
        <v>38</v>
      </c>
      <c r="F260" s="1">
        <v>15</v>
      </c>
      <c r="G260" s="1">
        <v>8</v>
      </c>
      <c r="H260" s="1">
        <v>15</v>
      </c>
      <c r="I260" s="1">
        <v>60</v>
      </c>
      <c r="J260" s="1">
        <v>51</v>
      </c>
      <c r="K260" s="1">
        <v>9</v>
      </c>
      <c r="L260" s="1">
        <f t="shared" si="4"/>
        <v>0.8833333333333333</v>
      </c>
    </row>
    <row r="261" spans="1:12" x14ac:dyDescent="0.25">
      <c r="A261" s="1">
        <v>2015</v>
      </c>
      <c r="B261" s="1">
        <v>10</v>
      </c>
      <c r="C261" s="1" t="s">
        <v>11</v>
      </c>
      <c r="D261" s="1">
        <v>51</v>
      </c>
      <c r="E261" s="1">
        <v>38</v>
      </c>
      <c r="F261" s="1">
        <v>14</v>
      </c>
      <c r="G261" s="1">
        <v>9</v>
      </c>
      <c r="H261" s="1">
        <v>15</v>
      </c>
      <c r="I261" s="1">
        <v>43</v>
      </c>
      <c r="J261" s="1">
        <v>48</v>
      </c>
      <c r="K261" s="1">
        <v>-5</v>
      </c>
      <c r="L261" s="1">
        <f t="shared" si="4"/>
        <v>1.1860465116279071</v>
      </c>
    </row>
    <row r="262" spans="1:12" x14ac:dyDescent="0.25">
      <c r="A262" s="1">
        <v>2015</v>
      </c>
      <c r="B262" s="1">
        <v>11</v>
      </c>
      <c r="C262" s="1" t="s">
        <v>19</v>
      </c>
      <c r="D262" s="1">
        <v>51</v>
      </c>
      <c r="E262" s="1">
        <v>38</v>
      </c>
      <c r="F262" s="1">
        <v>13</v>
      </c>
      <c r="G262" s="1">
        <v>12</v>
      </c>
      <c r="H262" s="1">
        <v>13</v>
      </c>
      <c r="I262" s="1">
        <v>41</v>
      </c>
      <c r="J262" s="1">
        <v>40</v>
      </c>
      <c r="K262" s="1">
        <v>1</v>
      </c>
      <c r="L262" s="1">
        <f t="shared" si="4"/>
        <v>1.2439024390243902</v>
      </c>
    </row>
    <row r="263" spans="1:12" x14ac:dyDescent="0.25">
      <c r="A263" s="1">
        <v>2015</v>
      </c>
      <c r="B263" s="1">
        <v>12</v>
      </c>
      <c r="C263" s="1" t="s">
        <v>7</v>
      </c>
      <c r="D263" s="1">
        <v>49</v>
      </c>
      <c r="E263" s="1">
        <v>38</v>
      </c>
      <c r="F263" s="1">
        <v>15</v>
      </c>
      <c r="G263" s="1">
        <v>4</v>
      </c>
      <c r="H263" s="1">
        <v>19</v>
      </c>
      <c r="I263" s="1">
        <v>45</v>
      </c>
      <c r="J263" s="1">
        <v>53</v>
      </c>
      <c r="K263" s="1">
        <v>-8</v>
      </c>
      <c r="L263" s="1">
        <f t="shared" si="4"/>
        <v>1.0888888888888888</v>
      </c>
    </row>
    <row r="264" spans="1:12" x14ac:dyDescent="0.25">
      <c r="A264" s="1">
        <v>2015</v>
      </c>
      <c r="B264" s="1">
        <v>13</v>
      </c>
      <c r="C264" s="1" t="s">
        <v>18</v>
      </c>
      <c r="D264" s="1">
        <v>47</v>
      </c>
      <c r="E264" s="1">
        <v>38</v>
      </c>
      <c r="F264" s="1">
        <v>14</v>
      </c>
      <c r="G264" s="1">
        <v>5</v>
      </c>
      <c r="H264" s="1">
        <v>19</v>
      </c>
      <c r="I264" s="1">
        <v>40</v>
      </c>
      <c r="J264" s="1">
        <v>49</v>
      </c>
      <c r="K264" s="1">
        <v>-9</v>
      </c>
      <c r="L264" s="1">
        <f t="shared" si="4"/>
        <v>1.175</v>
      </c>
    </row>
    <row r="265" spans="1:12" x14ac:dyDescent="0.25">
      <c r="A265" s="1">
        <v>2015</v>
      </c>
      <c r="B265" s="1">
        <v>14</v>
      </c>
      <c r="C265" s="1" t="s">
        <v>39</v>
      </c>
      <c r="D265" s="1">
        <v>47</v>
      </c>
      <c r="E265" s="1">
        <v>38</v>
      </c>
      <c r="F265" s="1">
        <v>12</v>
      </c>
      <c r="G265" s="1">
        <v>11</v>
      </c>
      <c r="H265" s="1">
        <v>15</v>
      </c>
      <c r="I265" s="1">
        <v>34</v>
      </c>
      <c r="J265" s="1">
        <v>44</v>
      </c>
      <c r="K265" s="1">
        <v>-10</v>
      </c>
      <c r="L265" s="1">
        <f t="shared" si="4"/>
        <v>1.3823529411764706</v>
      </c>
    </row>
    <row r="266" spans="1:12" x14ac:dyDescent="0.25">
      <c r="A266" s="1">
        <v>2015</v>
      </c>
      <c r="B266" s="1">
        <v>15</v>
      </c>
      <c r="C266" s="1" t="s">
        <v>4</v>
      </c>
      <c r="D266" s="1">
        <v>44</v>
      </c>
      <c r="E266" s="1">
        <v>38</v>
      </c>
      <c r="F266" s="1">
        <v>11</v>
      </c>
      <c r="G266" s="1">
        <v>11</v>
      </c>
      <c r="H266" s="1">
        <v>16</v>
      </c>
      <c r="I266" s="1">
        <v>31</v>
      </c>
      <c r="J266" s="1">
        <v>42</v>
      </c>
      <c r="K266" s="1">
        <v>-11</v>
      </c>
      <c r="L266" s="1">
        <f t="shared" si="4"/>
        <v>1.4193548387096775</v>
      </c>
    </row>
    <row r="267" spans="1:12" x14ac:dyDescent="0.25">
      <c r="A267" s="1">
        <v>2015</v>
      </c>
      <c r="B267" s="1">
        <v>16</v>
      </c>
      <c r="C267" s="1" t="s">
        <v>10</v>
      </c>
      <c r="D267" s="1">
        <v>43</v>
      </c>
      <c r="E267" s="1">
        <v>38</v>
      </c>
      <c r="F267" s="1">
        <v>11</v>
      </c>
      <c r="G267" s="1">
        <v>10</v>
      </c>
      <c r="H267" s="1">
        <v>17</v>
      </c>
      <c r="I267" s="1">
        <v>36</v>
      </c>
      <c r="J267" s="1">
        <v>50</v>
      </c>
      <c r="K267" s="1">
        <v>-14</v>
      </c>
      <c r="L267" s="1">
        <f t="shared" si="4"/>
        <v>1.1944444444444444</v>
      </c>
    </row>
    <row r="268" spans="1:12" x14ac:dyDescent="0.25">
      <c r="A268" s="1">
        <v>2015</v>
      </c>
      <c r="B268" s="1">
        <v>17</v>
      </c>
      <c r="C268" s="1" t="s">
        <v>33</v>
      </c>
      <c r="D268" s="1">
        <v>42</v>
      </c>
      <c r="E268" s="1">
        <v>38</v>
      </c>
      <c r="F268" s="1">
        <v>11</v>
      </c>
      <c r="G268" s="1">
        <v>9</v>
      </c>
      <c r="H268" s="1">
        <v>18</v>
      </c>
      <c r="I268" s="1">
        <v>38</v>
      </c>
      <c r="J268" s="1">
        <v>60</v>
      </c>
      <c r="K268" s="1">
        <v>-22</v>
      </c>
      <c r="L268" s="1">
        <f t="shared" si="4"/>
        <v>1.1052631578947369</v>
      </c>
    </row>
    <row r="269" spans="1:12" x14ac:dyDescent="0.25">
      <c r="A269" s="1">
        <v>2015</v>
      </c>
      <c r="B269" s="1">
        <v>18</v>
      </c>
      <c r="C269" s="1" t="s">
        <v>16</v>
      </c>
      <c r="D269" s="1">
        <v>41</v>
      </c>
      <c r="E269" s="1">
        <v>38</v>
      </c>
      <c r="F269" s="1">
        <v>10</v>
      </c>
      <c r="G269" s="1">
        <v>11</v>
      </c>
      <c r="H269" s="1">
        <v>17</v>
      </c>
      <c r="I269" s="1">
        <v>28</v>
      </c>
      <c r="J269" s="1">
        <v>54</v>
      </c>
      <c r="K269" s="1">
        <v>-26</v>
      </c>
      <c r="L269" s="1">
        <f t="shared" si="4"/>
        <v>1.4642857142857142</v>
      </c>
    </row>
    <row r="270" spans="1:12" x14ac:dyDescent="0.25">
      <c r="A270" s="1">
        <v>2015</v>
      </c>
      <c r="B270" s="1">
        <v>19</v>
      </c>
      <c r="C270" s="1" t="s">
        <v>8</v>
      </c>
      <c r="D270" s="1">
        <v>38</v>
      </c>
      <c r="E270" s="1">
        <v>38</v>
      </c>
      <c r="F270" s="1">
        <v>10</v>
      </c>
      <c r="G270" s="1">
        <v>8</v>
      </c>
      <c r="H270" s="1">
        <v>20</v>
      </c>
      <c r="I270" s="1">
        <v>39</v>
      </c>
      <c r="J270" s="1">
        <v>49</v>
      </c>
      <c r="K270" s="1">
        <v>-10</v>
      </c>
      <c r="L270" s="1">
        <f t="shared" si="4"/>
        <v>0.97435897435897434</v>
      </c>
    </row>
    <row r="271" spans="1:12" x14ac:dyDescent="0.25">
      <c r="A271" s="1">
        <v>2015</v>
      </c>
      <c r="B271" s="1">
        <v>20</v>
      </c>
      <c r="C271" s="1" t="s">
        <v>40</v>
      </c>
      <c r="D271" s="1">
        <v>31</v>
      </c>
      <c r="E271" s="1">
        <v>38</v>
      </c>
      <c r="F271" s="1">
        <v>7</v>
      </c>
      <c r="G271" s="1">
        <v>10</v>
      </c>
      <c r="H271" s="1">
        <v>21</v>
      </c>
      <c r="I271" s="1">
        <v>26</v>
      </c>
      <c r="J271" s="1">
        <v>48</v>
      </c>
      <c r="K271" s="1">
        <v>-22</v>
      </c>
      <c r="L271" s="1">
        <f t="shared" si="4"/>
        <v>1.1923076923076923</v>
      </c>
    </row>
    <row r="272" spans="1:12" x14ac:dyDescent="0.25">
      <c r="A272" s="1">
        <v>2016</v>
      </c>
      <c r="B272" s="1">
        <v>1</v>
      </c>
      <c r="C272" s="1" t="s">
        <v>24</v>
      </c>
      <c r="D272" s="1">
        <v>80</v>
      </c>
      <c r="E272" s="1">
        <v>38</v>
      </c>
      <c r="F272" s="1">
        <v>24</v>
      </c>
      <c r="G272" s="1">
        <v>8</v>
      </c>
      <c r="H272" s="1">
        <v>6</v>
      </c>
      <c r="I272" s="1">
        <v>62</v>
      </c>
      <c r="J272" s="1">
        <v>32</v>
      </c>
      <c r="K272" s="1">
        <v>30</v>
      </c>
      <c r="L272" s="1">
        <f t="shared" si="4"/>
        <v>1.2903225806451613</v>
      </c>
    </row>
    <row r="273" spans="1:12" x14ac:dyDescent="0.25">
      <c r="A273" s="1">
        <v>2016</v>
      </c>
      <c r="B273" s="1">
        <v>2</v>
      </c>
      <c r="C273" s="1" t="s">
        <v>1</v>
      </c>
      <c r="D273" s="1">
        <v>71</v>
      </c>
      <c r="E273" s="1">
        <v>38</v>
      </c>
      <c r="F273" s="1">
        <v>22</v>
      </c>
      <c r="G273" s="1">
        <v>5</v>
      </c>
      <c r="H273" s="1">
        <v>11</v>
      </c>
      <c r="I273" s="1">
        <v>59</v>
      </c>
      <c r="J273" s="1">
        <v>35</v>
      </c>
      <c r="K273" s="1">
        <v>24</v>
      </c>
      <c r="L273" s="1">
        <f t="shared" si="4"/>
        <v>1.2033898305084745</v>
      </c>
    </row>
    <row r="274" spans="1:12" x14ac:dyDescent="0.25">
      <c r="A274" s="1">
        <v>2016</v>
      </c>
      <c r="B274" s="1">
        <v>3</v>
      </c>
      <c r="C274" s="1" t="s">
        <v>7</v>
      </c>
      <c r="D274" s="1">
        <v>71</v>
      </c>
      <c r="E274" s="1">
        <v>38</v>
      </c>
      <c r="F274" s="1">
        <v>20</v>
      </c>
      <c r="G274" s="1">
        <v>11</v>
      </c>
      <c r="H274" s="1">
        <v>7</v>
      </c>
      <c r="I274" s="1">
        <v>52</v>
      </c>
      <c r="J274" s="1">
        <v>35</v>
      </c>
      <c r="K274" s="1">
        <v>17</v>
      </c>
      <c r="L274" s="1">
        <f t="shared" si="4"/>
        <v>1.3653846153846154</v>
      </c>
    </row>
    <row r="275" spans="1:12" x14ac:dyDescent="0.25">
      <c r="A275" s="1">
        <v>2016</v>
      </c>
      <c r="B275" s="1">
        <v>4</v>
      </c>
      <c r="C275" s="1" t="s">
        <v>5</v>
      </c>
      <c r="D275" s="1">
        <v>62</v>
      </c>
      <c r="E275" s="1">
        <v>38</v>
      </c>
      <c r="F275" s="1">
        <v>17</v>
      </c>
      <c r="G275" s="1">
        <v>11</v>
      </c>
      <c r="H275" s="1">
        <v>10</v>
      </c>
      <c r="I275" s="1">
        <v>61</v>
      </c>
      <c r="J275" s="1">
        <v>53</v>
      </c>
      <c r="K275" s="1">
        <v>8</v>
      </c>
      <c r="L275" s="1">
        <f t="shared" si="4"/>
        <v>1.0163934426229508</v>
      </c>
    </row>
    <row r="276" spans="1:12" x14ac:dyDescent="0.25">
      <c r="A276" s="1">
        <v>2016</v>
      </c>
      <c r="B276" s="1">
        <v>5</v>
      </c>
      <c r="C276" s="1" t="s">
        <v>25</v>
      </c>
      <c r="D276" s="1">
        <v>59</v>
      </c>
      <c r="E276" s="1">
        <v>38</v>
      </c>
      <c r="F276" s="1">
        <v>17</v>
      </c>
      <c r="G276" s="1">
        <v>8</v>
      </c>
      <c r="H276" s="1">
        <v>13</v>
      </c>
      <c r="I276" s="1">
        <v>43</v>
      </c>
      <c r="J276" s="1">
        <v>39</v>
      </c>
      <c r="K276" s="1">
        <v>4</v>
      </c>
      <c r="L276" s="1">
        <f t="shared" si="4"/>
        <v>1.3720930232558139</v>
      </c>
    </row>
    <row r="277" spans="1:12" x14ac:dyDescent="0.25">
      <c r="A277" s="1">
        <v>2016</v>
      </c>
      <c r="B277" s="1">
        <v>6</v>
      </c>
      <c r="C277" s="1" t="s">
        <v>11</v>
      </c>
      <c r="D277" s="1">
        <v>57</v>
      </c>
      <c r="E277" s="1">
        <v>38</v>
      </c>
      <c r="F277" s="1">
        <v>17</v>
      </c>
      <c r="G277" s="1">
        <v>6</v>
      </c>
      <c r="H277" s="1">
        <v>15</v>
      </c>
      <c r="I277" s="1">
        <v>38</v>
      </c>
      <c r="J277" s="1">
        <v>32</v>
      </c>
      <c r="K277" s="1">
        <v>6</v>
      </c>
      <c r="L277" s="1">
        <f t="shared" si="4"/>
        <v>1.5</v>
      </c>
    </row>
    <row r="278" spans="1:12" x14ac:dyDescent="0.25">
      <c r="A278" s="1">
        <v>2016</v>
      </c>
      <c r="B278" s="1">
        <v>7</v>
      </c>
      <c r="C278" s="1" t="s">
        <v>14</v>
      </c>
      <c r="D278" s="1">
        <v>55</v>
      </c>
      <c r="E278" s="1">
        <v>38</v>
      </c>
      <c r="F278" s="1">
        <v>15</v>
      </c>
      <c r="G278" s="1">
        <v>10</v>
      </c>
      <c r="H278" s="1">
        <v>13</v>
      </c>
      <c r="I278" s="1">
        <v>48</v>
      </c>
      <c r="J278" s="1">
        <v>42</v>
      </c>
      <c r="K278" s="1">
        <v>6</v>
      </c>
      <c r="L278" s="1">
        <f t="shared" si="4"/>
        <v>1.1458333333333333</v>
      </c>
    </row>
    <row r="279" spans="1:12" x14ac:dyDescent="0.25">
      <c r="A279" s="1">
        <v>2016</v>
      </c>
      <c r="B279" s="1">
        <v>8</v>
      </c>
      <c r="C279" s="1" t="s">
        <v>19</v>
      </c>
      <c r="D279" s="1">
        <v>53</v>
      </c>
      <c r="E279" s="1">
        <v>38</v>
      </c>
      <c r="F279" s="1">
        <v>15</v>
      </c>
      <c r="G279" s="1">
        <v>8</v>
      </c>
      <c r="H279" s="1">
        <v>15</v>
      </c>
      <c r="I279" s="1">
        <v>48</v>
      </c>
      <c r="J279" s="1">
        <v>52</v>
      </c>
      <c r="K279" s="1">
        <v>-4</v>
      </c>
      <c r="L279" s="1">
        <f t="shared" si="4"/>
        <v>1.1041666666666667</v>
      </c>
    </row>
    <row r="280" spans="1:12" x14ac:dyDescent="0.25">
      <c r="A280" s="1">
        <v>2016</v>
      </c>
      <c r="B280" s="1">
        <v>9</v>
      </c>
      <c r="C280" s="1" t="s">
        <v>20</v>
      </c>
      <c r="D280" s="1">
        <v>53</v>
      </c>
      <c r="E280" s="1">
        <v>38</v>
      </c>
      <c r="F280" s="1">
        <v>14</v>
      </c>
      <c r="G280" s="1">
        <v>11</v>
      </c>
      <c r="H280" s="1">
        <v>13</v>
      </c>
      <c r="I280" s="1">
        <v>41</v>
      </c>
      <c r="J280" s="1">
        <v>44</v>
      </c>
      <c r="K280" s="1">
        <v>-3</v>
      </c>
      <c r="L280" s="1">
        <f t="shared" si="4"/>
        <v>1.2926829268292683</v>
      </c>
    </row>
    <row r="281" spans="1:12" x14ac:dyDescent="0.25">
      <c r="A281" s="1">
        <v>2016</v>
      </c>
      <c r="B281" s="1">
        <v>10</v>
      </c>
      <c r="C281" s="1" t="s">
        <v>2</v>
      </c>
      <c r="D281" s="1">
        <v>52</v>
      </c>
      <c r="E281" s="1">
        <v>38</v>
      </c>
      <c r="F281" s="1">
        <v>14</v>
      </c>
      <c r="G281" s="1">
        <v>10</v>
      </c>
      <c r="H281" s="1">
        <v>14</v>
      </c>
      <c r="I281" s="1">
        <v>44</v>
      </c>
      <c r="J281" s="1">
        <v>36</v>
      </c>
      <c r="K281" s="1">
        <v>8</v>
      </c>
      <c r="L281" s="1">
        <f t="shared" si="4"/>
        <v>1.1818181818181819</v>
      </c>
    </row>
    <row r="282" spans="1:12" x14ac:dyDescent="0.25">
      <c r="A282" s="1">
        <v>2016</v>
      </c>
      <c r="B282" s="1">
        <v>11</v>
      </c>
      <c r="C282" s="1" t="s">
        <v>39</v>
      </c>
      <c r="D282" s="1">
        <v>52</v>
      </c>
      <c r="E282" s="1">
        <v>38</v>
      </c>
      <c r="F282" s="1">
        <v>13</v>
      </c>
      <c r="G282" s="1">
        <v>13</v>
      </c>
      <c r="H282" s="1">
        <v>12</v>
      </c>
      <c r="I282" s="1">
        <v>49</v>
      </c>
      <c r="J282" s="1">
        <v>56</v>
      </c>
      <c r="K282" s="1">
        <v>-7</v>
      </c>
      <c r="L282" s="1">
        <f t="shared" si="4"/>
        <v>1.0612244897959184</v>
      </c>
    </row>
    <row r="283" spans="1:12" x14ac:dyDescent="0.25">
      <c r="A283" s="1">
        <v>2016</v>
      </c>
      <c r="B283" s="1">
        <v>12</v>
      </c>
      <c r="C283" s="1" t="s">
        <v>0</v>
      </c>
      <c r="D283" s="1">
        <v>51</v>
      </c>
      <c r="E283" s="1">
        <v>38</v>
      </c>
      <c r="F283" s="1">
        <v>14</v>
      </c>
      <c r="G283" s="1">
        <v>9</v>
      </c>
      <c r="H283" s="1">
        <v>15</v>
      </c>
      <c r="I283" s="1">
        <v>48</v>
      </c>
      <c r="J283" s="1">
        <v>49</v>
      </c>
      <c r="K283" s="1">
        <v>-1</v>
      </c>
      <c r="L283" s="1">
        <f t="shared" si="4"/>
        <v>1.0625</v>
      </c>
    </row>
    <row r="284" spans="1:12" x14ac:dyDescent="0.25">
      <c r="A284" s="1">
        <v>2016</v>
      </c>
      <c r="B284" s="1">
        <v>13</v>
      </c>
      <c r="C284" s="1" t="s">
        <v>18</v>
      </c>
      <c r="D284" s="1">
        <v>50</v>
      </c>
      <c r="E284" s="1">
        <v>38</v>
      </c>
      <c r="F284" s="1">
        <v>13</v>
      </c>
      <c r="G284" s="1">
        <v>11</v>
      </c>
      <c r="H284" s="1">
        <v>14</v>
      </c>
      <c r="I284" s="1">
        <v>45</v>
      </c>
      <c r="J284" s="1">
        <v>45</v>
      </c>
      <c r="K284" s="1">
        <v>0</v>
      </c>
      <c r="L284" s="1">
        <f t="shared" si="4"/>
        <v>1.1111111111111112</v>
      </c>
    </row>
    <row r="285" spans="1:12" x14ac:dyDescent="0.25">
      <c r="A285" s="1">
        <v>2016</v>
      </c>
      <c r="B285" s="1">
        <v>14</v>
      </c>
      <c r="C285" s="1" t="s">
        <v>28</v>
      </c>
      <c r="D285" s="1">
        <v>47</v>
      </c>
      <c r="E285" s="1">
        <v>38</v>
      </c>
      <c r="F285" s="1">
        <v>13</v>
      </c>
      <c r="G285" s="1">
        <v>8</v>
      </c>
      <c r="H285" s="1">
        <v>17</v>
      </c>
      <c r="I285" s="1">
        <v>49</v>
      </c>
      <c r="J285" s="1">
        <v>55</v>
      </c>
      <c r="K285" s="1">
        <v>-6</v>
      </c>
      <c r="L285" s="1">
        <f t="shared" si="4"/>
        <v>0.95918367346938771</v>
      </c>
    </row>
    <row r="286" spans="1:12" x14ac:dyDescent="0.25">
      <c r="A286" s="1">
        <v>2016</v>
      </c>
      <c r="B286" s="1">
        <v>15</v>
      </c>
      <c r="C286" s="1" t="s">
        <v>4</v>
      </c>
      <c r="D286" s="1">
        <v>46</v>
      </c>
      <c r="E286" s="1">
        <v>38</v>
      </c>
      <c r="F286" s="1">
        <v>11</v>
      </c>
      <c r="G286" s="1">
        <v>13</v>
      </c>
      <c r="H286" s="1">
        <v>14</v>
      </c>
      <c r="I286" s="1">
        <v>41</v>
      </c>
      <c r="J286" s="1">
        <v>42</v>
      </c>
      <c r="K286" s="1">
        <v>-1</v>
      </c>
      <c r="L286" s="1">
        <f t="shared" si="4"/>
        <v>1.1219512195121952</v>
      </c>
    </row>
    <row r="287" spans="1:12" x14ac:dyDescent="0.25">
      <c r="A287" s="1">
        <v>2016</v>
      </c>
      <c r="B287" s="1">
        <v>16</v>
      </c>
      <c r="C287" s="1" t="s">
        <v>15</v>
      </c>
      <c r="D287" s="1">
        <v>45</v>
      </c>
      <c r="E287" s="1">
        <v>38</v>
      </c>
      <c r="F287" s="1">
        <v>12</v>
      </c>
      <c r="G287" s="1">
        <v>9</v>
      </c>
      <c r="H287" s="1">
        <v>17</v>
      </c>
      <c r="I287" s="1">
        <v>51</v>
      </c>
      <c r="J287" s="1">
        <v>53</v>
      </c>
      <c r="K287" s="1">
        <v>-2</v>
      </c>
      <c r="L287" s="1">
        <f t="shared" si="4"/>
        <v>0.88235294117647056</v>
      </c>
    </row>
    <row r="288" spans="1:12" x14ac:dyDescent="0.25">
      <c r="A288" s="1">
        <v>2016</v>
      </c>
      <c r="B288" s="1">
        <v>17</v>
      </c>
      <c r="C288" s="1" t="s">
        <v>6</v>
      </c>
      <c r="D288" s="1">
        <v>43</v>
      </c>
      <c r="E288" s="1">
        <v>38</v>
      </c>
      <c r="F288" s="1">
        <v>11</v>
      </c>
      <c r="G288" s="1">
        <v>10</v>
      </c>
      <c r="H288" s="1">
        <v>17</v>
      </c>
      <c r="I288" s="1">
        <v>35</v>
      </c>
      <c r="J288" s="1">
        <v>41</v>
      </c>
      <c r="K288" s="1">
        <v>-6</v>
      </c>
      <c r="L288" s="1">
        <f t="shared" si="4"/>
        <v>1.2285714285714286</v>
      </c>
    </row>
    <row r="289" spans="1:12" x14ac:dyDescent="0.25">
      <c r="A289" s="1">
        <v>2016</v>
      </c>
      <c r="B289" s="1">
        <v>18</v>
      </c>
      <c r="C289" s="1" t="s">
        <v>10</v>
      </c>
      <c r="D289" s="1">
        <v>37</v>
      </c>
      <c r="E289" s="1">
        <v>38</v>
      </c>
      <c r="F289" s="1">
        <v>8</v>
      </c>
      <c r="G289" s="1">
        <v>13</v>
      </c>
      <c r="H289" s="1">
        <v>17</v>
      </c>
      <c r="I289" s="1">
        <v>30</v>
      </c>
      <c r="J289" s="1">
        <v>50</v>
      </c>
      <c r="K289" s="1">
        <v>-20</v>
      </c>
      <c r="L289" s="1">
        <f t="shared" si="4"/>
        <v>1.2333333333333334</v>
      </c>
    </row>
    <row r="290" spans="1:12" x14ac:dyDescent="0.25">
      <c r="A290" s="1">
        <v>2016</v>
      </c>
      <c r="B290" s="1">
        <v>19</v>
      </c>
      <c r="C290" s="1" t="s">
        <v>27</v>
      </c>
      <c r="D290" s="1">
        <v>31</v>
      </c>
      <c r="E290" s="1">
        <v>38</v>
      </c>
      <c r="F290" s="1">
        <v>8</v>
      </c>
      <c r="G290" s="1">
        <v>7</v>
      </c>
      <c r="H290" s="1">
        <v>23</v>
      </c>
      <c r="I290" s="1">
        <v>45</v>
      </c>
      <c r="J290" s="1">
        <v>69</v>
      </c>
      <c r="K290" s="1">
        <v>-24</v>
      </c>
      <c r="L290" s="1">
        <f t="shared" si="4"/>
        <v>0.68888888888888888</v>
      </c>
    </row>
    <row r="291" spans="1:12" x14ac:dyDescent="0.25">
      <c r="A291" s="1">
        <v>2016</v>
      </c>
      <c r="B291" s="1">
        <v>20</v>
      </c>
      <c r="C291" s="1" t="s">
        <v>38</v>
      </c>
      <c r="D291" s="1">
        <v>28</v>
      </c>
      <c r="E291" s="1">
        <v>38</v>
      </c>
      <c r="F291" s="1">
        <v>7</v>
      </c>
      <c r="G291" s="1">
        <v>7</v>
      </c>
      <c r="H291" s="1">
        <v>24</v>
      </c>
      <c r="I291" s="1">
        <v>23</v>
      </c>
      <c r="J291" s="1">
        <v>58</v>
      </c>
      <c r="K291" s="1">
        <v>-35</v>
      </c>
      <c r="L291" s="1">
        <f t="shared" si="4"/>
        <v>1.2173913043478262</v>
      </c>
    </row>
    <row r="292" spans="1:12" x14ac:dyDescent="0.25">
      <c r="A292" s="1">
        <v>2017</v>
      </c>
      <c r="B292" s="1">
        <v>1</v>
      </c>
      <c r="C292" s="1" t="s">
        <v>14</v>
      </c>
      <c r="D292" s="1">
        <v>72</v>
      </c>
      <c r="E292" s="1">
        <v>38</v>
      </c>
      <c r="F292" s="1">
        <v>21</v>
      </c>
      <c r="G292" s="1">
        <v>9</v>
      </c>
      <c r="H292" s="1">
        <v>8</v>
      </c>
      <c r="I292" s="1">
        <v>50</v>
      </c>
      <c r="J292" s="1">
        <v>30</v>
      </c>
      <c r="K292" s="1">
        <v>20</v>
      </c>
      <c r="L292" s="1">
        <f t="shared" si="4"/>
        <v>1.44</v>
      </c>
    </row>
    <row r="293" spans="1:12" x14ac:dyDescent="0.25">
      <c r="A293" s="1">
        <v>2017</v>
      </c>
      <c r="B293" s="1">
        <v>2</v>
      </c>
      <c r="C293" s="1" t="s">
        <v>24</v>
      </c>
      <c r="D293" s="1">
        <v>63</v>
      </c>
      <c r="E293" s="1">
        <v>38</v>
      </c>
      <c r="F293" s="1">
        <v>19</v>
      </c>
      <c r="G293" s="1">
        <v>6</v>
      </c>
      <c r="H293" s="1">
        <v>13</v>
      </c>
      <c r="I293" s="1">
        <v>61</v>
      </c>
      <c r="J293" s="1">
        <v>45</v>
      </c>
      <c r="K293" s="1">
        <v>16</v>
      </c>
      <c r="L293" s="1">
        <f t="shared" si="4"/>
        <v>1.0327868852459017</v>
      </c>
    </row>
    <row r="294" spans="1:12" x14ac:dyDescent="0.25">
      <c r="A294" s="1">
        <v>2017</v>
      </c>
      <c r="B294" s="1">
        <v>3</v>
      </c>
      <c r="C294" s="1" t="s">
        <v>1</v>
      </c>
      <c r="D294" s="1">
        <v>63</v>
      </c>
      <c r="E294" s="1">
        <v>38</v>
      </c>
      <c r="F294" s="1">
        <v>17</v>
      </c>
      <c r="G294" s="1">
        <v>12</v>
      </c>
      <c r="H294" s="1">
        <v>9</v>
      </c>
      <c r="I294" s="1">
        <v>42</v>
      </c>
      <c r="J294" s="1">
        <v>32</v>
      </c>
      <c r="K294" s="1">
        <v>10</v>
      </c>
      <c r="L294" s="1">
        <f t="shared" si="4"/>
        <v>1.5</v>
      </c>
    </row>
    <row r="295" spans="1:12" x14ac:dyDescent="0.25">
      <c r="A295" s="1">
        <v>2017</v>
      </c>
      <c r="B295" s="1">
        <v>4</v>
      </c>
      <c r="C295" s="1" t="s">
        <v>20</v>
      </c>
      <c r="D295" s="1">
        <v>62</v>
      </c>
      <c r="E295" s="1">
        <v>38</v>
      </c>
      <c r="F295" s="1">
        <v>18</v>
      </c>
      <c r="G295" s="1">
        <v>8</v>
      </c>
      <c r="H295" s="1">
        <v>12</v>
      </c>
      <c r="I295" s="1">
        <v>55</v>
      </c>
      <c r="J295" s="1">
        <v>36</v>
      </c>
      <c r="K295" s="1">
        <v>19</v>
      </c>
      <c r="L295" s="1">
        <f t="shared" si="4"/>
        <v>1.1272727272727272</v>
      </c>
    </row>
    <row r="296" spans="1:12" x14ac:dyDescent="0.25">
      <c r="A296" s="1">
        <v>2017</v>
      </c>
      <c r="B296" s="1">
        <v>5</v>
      </c>
      <c r="C296" s="1" t="s">
        <v>0</v>
      </c>
      <c r="D296" s="1">
        <v>57</v>
      </c>
      <c r="E296" s="1">
        <v>38</v>
      </c>
      <c r="F296" s="1">
        <v>15</v>
      </c>
      <c r="G296" s="1">
        <v>12</v>
      </c>
      <c r="H296" s="1">
        <v>11</v>
      </c>
      <c r="I296" s="1">
        <v>47</v>
      </c>
      <c r="J296" s="1">
        <v>39</v>
      </c>
      <c r="K296" s="1">
        <v>8</v>
      </c>
      <c r="L296" s="1">
        <f t="shared" si="4"/>
        <v>1.2127659574468086</v>
      </c>
    </row>
    <row r="297" spans="1:12" x14ac:dyDescent="0.25">
      <c r="A297" s="1">
        <v>2017</v>
      </c>
      <c r="B297" s="1">
        <v>6</v>
      </c>
      <c r="C297" s="1" t="s">
        <v>7</v>
      </c>
      <c r="D297" s="1">
        <v>56</v>
      </c>
      <c r="E297" s="1">
        <v>38</v>
      </c>
      <c r="F297" s="1">
        <v>15</v>
      </c>
      <c r="G297" s="1">
        <v>11</v>
      </c>
      <c r="H297" s="1">
        <v>12</v>
      </c>
      <c r="I297" s="1">
        <v>49</v>
      </c>
      <c r="J297" s="1">
        <v>38</v>
      </c>
      <c r="K297" s="1">
        <v>11</v>
      </c>
      <c r="L297" s="1">
        <f t="shared" si="4"/>
        <v>1.1428571428571428</v>
      </c>
    </row>
    <row r="298" spans="1:12" x14ac:dyDescent="0.25">
      <c r="A298" s="1">
        <v>2017</v>
      </c>
      <c r="B298" s="1">
        <v>7</v>
      </c>
      <c r="C298" s="1" t="s">
        <v>16</v>
      </c>
      <c r="D298" s="1">
        <v>56</v>
      </c>
      <c r="E298" s="1">
        <v>38</v>
      </c>
      <c r="F298" s="1">
        <v>15</v>
      </c>
      <c r="G298" s="1">
        <v>11</v>
      </c>
      <c r="H298" s="1">
        <v>12</v>
      </c>
      <c r="I298" s="1">
        <v>40</v>
      </c>
      <c r="J298" s="1">
        <v>47</v>
      </c>
      <c r="K298" s="1">
        <v>-7</v>
      </c>
      <c r="L298" s="1">
        <f t="shared" si="4"/>
        <v>1.4</v>
      </c>
    </row>
    <row r="299" spans="1:12" x14ac:dyDescent="0.25">
      <c r="A299" s="1">
        <v>2017</v>
      </c>
      <c r="B299" s="1">
        <v>8</v>
      </c>
      <c r="C299" s="1" t="s">
        <v>39</v>
      </c>
      <c r="D299" s="1">
        <v>54</v>
      </c>
      <c r="E299" s="1">
        <v>38</v>
      </c>
      <c r="F299" s="1">
        <v>15</v>
      </c>
      <c r="G299" s="1">
        <v>9</v>
      </c>
      <c r="H299" s="1">
        <v>14</v>
      </c>
      <c r="I299" s="1">
        <v>47</v>
      </c>
      <c r="J299" s="1">
        <v>49</v>
      </c>
      <c r="K299" s="1">
        <v>-2</v>
      </c>
      <c r="L299" s="1">
        <f t="shared" si="4"/>
        <v>1.1489361702127661</v>
      </c>
    </row>
    <row r="300" spans="1:12" x14ac:dyDescent="0.25">
      <c r="A300" s="1">
        <v>2017</v>
      </c>
      <c r="B300" s="1">
        <v>9</v>
      </c>
      <c r="C300" s="1" t="s">
        <v>5</v>
      </c>
      <c r="D300" s="1">
        <v>54</v>
      </c>
      <c r="E300" s="1">
        <v>38</v>
      </c>
      <c r="F300" s="1">
        <v>14</v>
      </c>
      <c r="G300" s="1">
        <v>12</v>
      </c>
      <c r="H300" s="1">
        <v>12</v>
      </c>
      <c r="I300" s="1">
        <v>52</v>
      </c>
      <c r="J300" s="1">
        <v>49</v>
      </c>
      <c r="K300" s="1">
        <v>3</v>
      </c>
      <c r="L300" s="1">
        <f t="shared" si="4"/>
        <v>1.0384615384615385</v>
      </c>
    </row>
    <row r="301" spans="1:12" x14ac:dyDescent="0.25">
      <c r="A301" s="1">
        <v>2017</v>
      </c>
      <c r="B301" s="1">
        <v>10</v>
      </c>
      <c r="C301" s="1" t="s">
        <v>25</v>
      </c>
      <c r="D301" s="1">
        <v>53</v>
      </c>
      <c r="E301" s="1">
        <v>38</v>
      </c>
      <c r="F301" s="1">
        <v>14</v>
      </c>
      <c r="G301" s="1">
        <v>11</v>
      </c>
      <c r="H301" s="1">
        <v>13</v>
      </c>
      <c r="I301" s="1">
        <v>45</v>
      </c>
      <c r="J301" s="1">
        <v>42</v>
      </c>
      <c r="K301" s="1">
        <v>3</v>
      </c>
      <c r="L301" s="1">
        <f t="shared" si="4"/>
        <v>1.1777777777777778</v>
      </c>
    </row>
    <row r="302" spans="1:12" x14ac:dyDescent="0.25">
      <c r="A302" s="1">
        <v>2017</v>
      </c>
      <c r="B302" s="1">
        <v>11</v>
      </c>
      <c r="C302" s="1" t="s">
        <v>11</v>
      </c>
      <c r="D302" s="1">
        <v>51</v>
      </c>
      <c r="E302" s="1">
        <v>38</v>
      </c>
      <c r="F302" s="1">
        <v>14</v>
      </c>
      <c r="G302" s="1">
        <v>9</v>
      </c>
      <c r="H302" s="1">
        <v>15</v>
      </c>
      <c r="I302" s="1">
        <v>45</v>
      </c>
      <c r="J302" s="1">
        <v>43</v>
      </c>
      <c r="K302" s="1">
        <v>2</v>
      </c>
      <c r="L302" s="1">
        <f t="shared" si="4"/>
        <v>1.1333333333333333</v>
      </c>
    </row>
    <row r="303" spans="1:12" x14ac:dyDescent="0.25">
      <c r="A303" s="1">
        <v>2017</v>
      </c>
      <c r="B303" s="1">
        <v>12</v>
      </c>
      <c r="C303" s="1" t="s">
        <v>23</v>
      </c>
      <c r="D303" s="1">
        <v>50</v>
      </c>
      <c r="E303" s="1">
        <v>38</v>
      </c>
      <c r="F303" s="1">
        <v>13</v>
      </c>
      <c r="G303" s="1">
        <v>11</v>
      </c>
      <c r="H303" s="1">
        <v>14</v>
      </c>
      <c r="I303" s="1">
        <v>50</v>
      </c>
      <c r="J303" s="1">
        <v>48</v>
      </c>
      <c r="K303" s="1">
        <v>2</v>
      </c>
      <c r="L303" s="1">
        <f t="shared" si="4"/>
        <v>1</v>
      </c>
    </row>
    <row r="304" spans="1:12" x14ac:dyDescent="0.25">
      <c r="A304" s="1">
        <v>2017</v>
      </c>
      <c r="B304" s="1">
        <v>13</v>
      </c>
      <c r="C304" s="1" t="s">
        <v>2</v>
      </c>
      <c r="D304" s="1">
        <v>50</v>
      </c>
      <c r="E304" s="1">
        <v>38</v>
      </c>
      <c r="F304" s="1">
        <v>13</v>
      </c>
      <c r="G304" s="1">
        <v>11</v>
      </c>
      <c r="H304" s="1">
        <v>14</v>
      </c>
      <c r="I304" s="1">
        <v>48</v>
      </c>
      <c r="J304" s="1">
        <v>49</v>
      </c>
      <c r="K304" s="1">
        <v>-1</v>
      </c>
      <c r="L304" s="1">
        <f t="shared" si="4"/>
        <v>1.0416666666666667</v>
      </c>
    </row>
    <row r="305" spans="1:12" x14ac:dyDescent="0.25">
      <c r="A305" s="1">
        <v>2017</v>
      </c>
      <c r="B305" s="1">
        <v>14</v>
      </c>
      <c r="C305" s="1" t="s">
        <v>18</v>
      </c>
      <c r="D305" s="1">
        <v>47</v>
      </c>
      <c r="E305" s="1">
        <v>38</v>
      </c>
      <c r="F305" s="1">
        <v>11</v>
      </c>
      <c r="G305" s="1">
        <v>14</v>
      </c>
      <c r="H305" s="1">
        <v>13</v>
      </c>
      <c r="I305" s="1">
        <v>50</v>
      </c>
      <c r="J305" s="1">
        <v>53</v>
      </c>
      <c r="K305" s="1">
        <v>-3</v>
      </c>
      <c r="L305" s="1">
        <f t="shared" si="4"/>
        <v>0.94</v>
      </c>
    </row>
    <row r="306" spans="1:12" x14ac:dyDescent="0.25">
      <c r="A306" s="1">
        <v>2017</v>
      </c>
      <c r="B306" s="1">
        <v>15</v>
      </c>
      <c r="C306" s="1" t="s">
        <v>28</v>
      </c>
      <c r="D306" s="1">
        <v>45</v>
      </c>
      <c r="E306" s="1">
        <v>38</v>
      </c>
      <c r="F306" s="1">
        <v>12</v>
      </c>
      <c r="G306" s="1">
        <v>9</v>
      </c>
      <c r="H306" s="1">
        <v>17</v>
      </c>
      <c r="I306" s="1">
        <v>46</v>
      </c>
      <c r="J306" s="1">
        <v>58</v>
      </c>
      <c r="K306" s="1">
        <v>-12</v>
      </c>
      <c r="L306" s="1">
        <f t="shared" si="4"/>
        <v>0.97826086956521741</v>
      </c>
    </row>
    <row r="307" spans="1:12" x14ac:dyDescent="0.25">
      <c r="A307" s="1">
        <v>2017</v>
      </c>
      <c r="B307" s="1">
        <v>16</v>
      </c>
      <c r="C307" s="1" t="s">
        <v>15</v>
      </c>
      <c r="D307" s="1">
        <v>43</v>
      </c>
      <c r="E307" s="1">
        <v>38</v>
      </c>
      <c r="F307" s="1">
        <v>11</v>
      </c>
      <c r="G307" s="1">
        <v>10</v>
      </c>
      <c r="H307" s="1">
        <v>17</v>
      </c>
      <c r="I307" s="1">
        <v>50</v>
      </c>
      <c r="J307" s="1">
        <v>58</v>
      </c>
      <c r="K307" s="1">
        <v>-8</v>
      </c>
      <c r="L307" s="1">
        <f t="shared" si="4"/>
        <v>0.86</v>
      </c>
    </row>
    <row r="308" spans="1:12" x14ac:dyDescent="0.25">
      <c r="A308" s="1">
        <v>2017</v>
      </c>
      <c r="B308" s="1">
        <v>17</v>
      </c>
      <c r="C308" s="1" t="s">
        <v>4</v>
      </c>
      <c r="D308" s="1">
        <v>43</v>
      </c>
      <c r="E308" s="1">
        <v>38</v>
      </c>
      <c r="F308" s="1">
        <v>11</v>
      </c>
      <c r="G308" s="1">
        <v>10</v>
      </c>
      <c r="H308" s="1">
        <v>17</v>
      </c>
      <c r="I308" s="1">
        <v>42</v>
      </c>
      <c r="J308" s="1">
        <v>51</v>
      </c>
      <c r="K308" s="1">
        <v>-9</v>
      </c>
      <c r="L308" s="1">
        <f t="shared" si="4"/>
        <v>1.0238095238095237</v>
      </c>
    </row>
    <row r="309" spans="1:12" x14ac:dyDescent="0.25">
      <c r="A309" s="1">
        <v>2017</v>
      </c>
      <c r="B309" s="1">
        <v>18</v>
      </c>
      <c r="C309" s="1" t="s">
        <v>33</v>
      </c>
      <c r="D309" s="1">
        <v>43</v>
      </c>
      <c r="E309" s="1">
        <v>38</v>
      </c>
      <c r="F309" s="1">
        <v>10</v>
      </c>
      <c r="G309" s="1">
        <v>13</v>
      </c>
      <c r="H309" s="1">
        <v>15</v>
      </c>
      <c r="I309" s="1">
        <v>29</v>
      </c>
      <c r="J309" s="1">
        <v>48</v>
      </c>
      <c r="K309" s="1">
        <v>-19</v>
      </c>
      <c r="L309" s="1">
        <f t="shared" si="4"/>
        <v>1.4827586206896552</v>
      </c>
    </row>
    <row r="310" spans="1:12" x14ac:dyDescent="0.25">
      <c r="A310" s="1">
        <v>2017</v>
      </c>
      <c r="B310" s="1">
        <v>19</v>
      </c>
      <c r="C310" s="1" t="s">
        <v>19</v>
      </c>
      <c r="D310" s="1">
        <v>39</v>
      </c>
      <c r="E310" s="1">
        <v>38</v>
      </c>
      <c r="F310" s="1">
        <v>10</v>
      </c>
      <c r="G310" s="1">
        <v>9</v>
      </c>
      <c r="H310" s="1">
        <v>19</v>
      </c>
      <c r="I310" s="1">
        <v>37</v>
      </c>
      <c r="J310" s="1">
        <v>52</v>
      </c>
      <c r="K310" s="1">
        <v>-15</v>
      </c>
      <c r="L310" s="1">
        <f t="shared" si="4"/>
        <v>1.0540540540540539</v>
      </c>
    </row>
    <row r="311" spans="1:12" x14ac:dyDescent="0.25">
      <c r="A311" s="1">
        <v>2017</v>
      </c>
      <c r="B311" s="1">
        <v>20</v>
      </c>
      <c r="C311" s="1" t="s">
        <v>37</v>
      </c>
      <c r="D311" s="1">
        <v>36</v>
      </c>
      <c r="E311" s="1">
        <v>38</v>
      </c>
      <c r="F311" s="1">
        <v>9</v>
      </c>
      <c r="G311" s="1">
        <v>9</v>
      </c>
      <c r="H311" s="1">
        <v>20</v>
      </c>
      <c r="I311" s="1">
        <v>38</v>
      </c>
      <c r="J311" s="1">
        <v>56</v>
      </c>
      <c r="K311" s="1">
        <v>-18</v>
      </c>
      <c r="L311" s="1">
        <f t="shared" si="4"/>
        <v>0.94736842105263153</v>
      </c>
    </row>
    <row r="312" spans="1:12" x14ac:dyDescent="0.25">
      <c r="A312" s="1">
        <v>2018</v>
      </c>
      <c r="B312" s="1">
        <v>1</v>
      </c>
      <c r="C312" s="1" t="s">
        <v>24</v>
      </c>
      <c r="D312" s="1">
        <v>80</v>
      </c>
      <c r="E312" s="1">
        <v>38</v>
      </c>
      <c r="F312" s="1">
        <v>23</v>
      </c>
      <c r="G312" s="1">
        <v>11</v>
      </c>
      <c r="H312" s="1">
        <v>4</v>
      </c>
      <c r="I312" s="1">
        <v>64</v>
      </c>
      <c r="J312" s="1">
        <v>26</v>
      </c>
      <c r="K312" s="1">
        <v>38</v>
      </c>
      <c r="L312" s="1">
        <f t="shared" si="4"/>
        <v>1.25</v>
      </c>
    </row>
    <row r="313" spans="1:12" x14ac:dyDescent="0.25">
      <c r="A313" s="1">
        <v>2018</v>
      </c>
      <c r="B313" s="1">
        <v>2</v>
      </c>
      <c r="C313" s="1" t="s">
        <v>7</v>
      </c>
      <c r="D313" s="1">
        <v>72</v>
      </c>
      <c r="E313" s="1">
        <v>38</v>
      </c>
      <c r="F313" s="1">
        <v>21</v>
      </c>
      <c r="G313" s="1">
        <v>9</v>
      </c>
      <c r="H313" s="1">
        <v>8</v>
      </c>
      <c r="I313" s="1">
        <v>59</v>
      </c>
      <c r="J313" s="1">
        <v>29</v>
      </c>
      <c r="K313" s="1">
        <v>30</v>
      </c>
      <c r="L313" s="1">
        <f t="shared" si="4"/>
        <v>1.2203389830508475</v>
      </c>
    </row>
    <row r="314" spans="1:12" x14ac:dyDescent="0.25">
      <c r="A314" s="1">
        <v>2018</v>
      </c>
      <c r="B314" s="1">
        <v>3</v>
      </c>
      <c r="C314" s="1" t="s">
        <v>6</v>
      </c>
      <c r="D314" s="1">
        <v>69</v>
      </c>
      <c r="E314" s="1">
        <v>38</v>
      </c>
      <c r="F314" s="1">
        <v>19</v>
      </c>
      <c r="G314" s="1">
        <v>12</v>
      </c>
      <c r="H314" s="1">
        <v>7</v>
      </c>
      <c r="I314" s="1">
        <v>51</v>
      </c>
      <c r="J314" s="1">
        <v>29</v>
      </c>
      <c r="K314" s="1">
        <v>22</v>
      </c>
      <c r="L314" s="1">
        <f t="shared" si="4"/>
        <v>1.3529411764705883</v>
      </c>
    </row>
    <row r="315" spans="1:12" x14ac:dyDescent="0.25">
      <c r="A315" s="1">
        <v>2018</v>
      </c>
      <c r="B315" s="1">
        <v>4</v>
      </c>
      <c r="C315" s="1" t="s">
        <v>20</v>
      </c>
      <c r="D315" s="1">
        <v>66</v>
      </c>
      <c r="E315" s="1">
        <v>38</v>
      </c>
      <c r="F315" s="1">
        <v>18</v>
      </c>
      <c r="G315" s="1">
        <v>12</v>
      </c>
      <c r="H315" s="1">
        <v>8</v>
      </c>
      <c r="I315" s="1">
        <v>48</v>
      </c>
      <c r="J315" s="1">
        <v>27</v>
      </c>
      <c r="K315" s="1">
        <v>21</v>
      </c>
      <c r="L315" s="1">
        <f t="shared" si="4"/>
        <v>1.375</v>
      </c>
    </row>
    <row r="316" spans="1:12" x14ac:dyDescent="0.25">
      <c r="A316" s="1">
        <v>2018</v>
      </c>
      <c r="B316" s="1">
        <v>5</v>
      </c>
      <c r="C316" s="1" t="s">
        <v>2</v>
      </c>
      <c r="D316" s="1">
        <v>63</v>
      </c>
      <c r="E316" s="1">
        <v>38</v>
      </c>
      <c r="F316" s="1">
        <v>16</v>
      </c>
      <c r="G316" s="1">
        <v>15</v>
      </c>
      <c r="H316" s="1">
        <v>7</v>
      </c>
      <c r="I316" s="1">
        <v>46</v>
      </c>
      <c r="J316" s="1">
        <v>34</v>
      </c>
      <c r="K316" s="1">
        <v>12</v>
      </c>
      <c r="L316" s="1">
        <f t="shared" si="4"/>
        <v>1.3695652173913044</v>
      </c>
    </row>
    <row r="317" spans="1:12" x14ac:dyDescent="0.25">
      <c r="A317" s="1">
        <v>2018</v>
      </c>
      <c r="B317" s="1">
        <v>6</v>
      </c>
      <c r="C317" s="1" t="s">
        <v>5</v>
      </c>
      <c r="D317" s="1">
        <v>59</v>
      </c>
      <c r="E317" s="1">
        <v>38</v>
      </c>
      <c r="F317" s="1">
        <v>17</v>
      </c>
      <c r="G317" s="1">
        <v>8</v>
      </c>
      <c r="H317" s="1">
        <v>13</v>
      </c>
      <c r="I317" s="1">
        <v>56</v>
      </c>
      <c r="J317" s="1">
        <v>43</v>
      </c>
      <c r="K317" s="1">
        <v>13</v>
      </c>
      <c r="L317" s="1">
        <f t="shared" si="4"/>
        <v>1.0535714285714286</v>
      </c>
    </row>
    <row r="318" spans="1:12" x14ac:dyDescent="0.25">
      <c r="A318" s="1">
        <v>2018</v>
      </c>
      <c r="B318" s="1">
        <v>7</v>
      </c>
      <c r="C318" s="1" t="s">
        <v>11</v>
      </c>
      <c r="D318" s="1">
        <v>57</v>
      </c>
      <c r="E318" s="1">
        <v>38</v>
      </c>
      <c r="F318" s="1">
        <v>16</v>
      </c>
      <c r="G318" s="1">
        <v>9</v>
      </c>
      <c r="H318" s="1">
        <v>13</v>
      </c>
      <c r="I318" s="1">
        <v>54</v>
      </c>
      <c r="J318" s="1">
        <v>37</v>
      </c>
      <c r="K318" s="1">
        <v>17</v>
      </c>
      <c r="L318" s="1">
        <f t="shared" si="4"/>
        <v>1.0555555555555556</v>
      </c>
    </row>
    <row r="319" spans="1:12" x14ac:dyDescent="0.25">
      <c r="A319" s="1">
        <v>2018</v>
      </c>
      <c r="B319" s="1">
        <v>8</v>
      </c>
      <c r="C319" s="1" t="s">
        <v>0</v>
      </c>
      <c r="D319" s="1">
        <v>53</v>
      </c>
      <c r="E319" s="1">
        <v>38</v>
      </c>
      <c r="F319" s="1">
        <v>14</v>
      </c>
      <c r="G319" s="1">
        <v>11</v>
      </c>
      <c r="H319" s="1">
        <v>13</v>
      </c>
      <c r="I319" s="1">
        <v>34</v>
      </c>
      <c r="J319" s="1">
        <v>34</v>
      </c>
      <c r="K319" s="1">
        <v>0</v>
      </c>
      <c r="L319" s="1">
        <f t="shared" si="4"/>
        <v>1.5588235294117647</v>
      </c>
    </row>
    <row r="320" spans="1:12" x14ac:dyDescent="0.25">
      <c r="A320" s="1">
        <v>2018</v>
      </c>
      <c r="B320" s="1">
        <v>9</v>
      </c>
      <c r="C320" s="1" t="s">
        <v>25</v>
      </c>
      <c r="D320" s="1">
        <v>51</v>
      </c>
      <c r="E320" s="1">
        <v>38</v>
      </c>
      <c r="F320" s="1">
        <v>13</v>
      </c>
      <c r="G320" s="1">
        <v>12</v>
      </c>
      <c r="H320" s="1">
        <v>13</v>
      </c>
      <c r="I320" s="1">
        <v>38</v>
      </c>
      <c r="J320" s="1">
        <v>46</v>
      </c>
      <c r="K320" s="1">
        <v>-8</v>
      </c>
      <c r="L320" s="1">
        <f t="shared" si="4"/>
        <v>1.3421052631578947</v>
      </c>
    </row>
    <row r="321" spans="1:12" x14ac:dyDescent="0.25">
      <c r="A321" s="1">
        <v>2018</v>
      </c>
      <c r="B321" s="1">
        <v>10</v>
      </c>
      <c r="C321" s="1" t="s">
        <v>1</v>
      </c>
      <c r="D321" s="1">
        <v>50</v>
      </c>
      <c r="E321" s="1">
        <v>38</v>
      </c>
      <c r="F321" s="1">
        <v>13</v>
      </c>
      <c r="G321" s="1">
        <v>11</v>
      </c>
      <c r="H321" s="1">
        <v>14</v>
      </c>
      <c r="I321" s="1">
        <v>46</v>
      </c>
      <c r="J321" s="1">
        <v>40</v>
      </c>
      <c r="K321" s="1">
        <v>6</v>
      </c>
      <c r="L321" s="1">
        <f t="shared" si="4"/>
        <v>1.0869565217391304</v>
      </c>
    </row>
    <row r="322" spans="1:12" x14ac:dyDescent="0.25">
      <c r="A322" s="1">
        <v>2018</v>
      </c>
      <c r="B322" s="1">
        <v>11</v>
      </c>
      <c r="C322" s="1" t="s">
        <v>23</v>
      </c>
      <c r="D322" s="1">
        <v>48</v>
      </c>
      <c r="E322" s="1">
        <v>38</v>
      </c>
      <c r="F322" s="1">
        <v>12</v>
      </c>
      <c r="G322" s="1">
        <v>12</v>
      </c>
      <c r="H322" s="1">
        <v>14</v>
      </c>
      <c r="I322" s="1">
        <v>39</v>
      </c>
      <c r="J322" s="1">
        <v>41</v>
      </c>
      <c r="K322" s="1">
        <v>-2</v>
      </c>
      <c r="L322" s="1">
        <f t="shared" si="4"/>
        <v>1.2307692307692308</v>
      </c>
    </row>
    <row r="323" spans="1:12" x14ac:dyDescent="0.25">
      <c r="A323" s="1">
        <v>2018</v>
      </c>
      <c r="B323" s="1">
        <v>12</v>
      </c>
      <c r="C323" s="1" t="s">
        <v>18</v>
      </c>
      <c r="D323" s="1">
        <v>45</v>
      </c>
      <c r="E323" s="1">
        <v>38</v>
      </c>
      <c r="F323" s="1">
        <v>12</v>
      </c>
      <c r="G323" s="1">
        <v>9</v>
      </c>
      <c r="H323" s="1">
        <v>17</v>
      </c>
      <c r="I323" s="1">
        <v>32</v>
      </c>
      <c r="J323" s="1">
        <v>46</v>
      </c>
      <c r="K323" s="1">
        <v>-14</v>
      </c>
      <c r="L323" s="1">
        <f t="shared" ref="L323:L386" si="5">D323/I323</f>
        <v>1.40625</v>
      </c>
    </row>
    <row r="324" spans="1:12" x14ac:dyDescent="0.25">
      <c r="A324" s="1">
        <v>2018</v>
      </c>
      <c r="B324" s="1">
        <v>13</v>
      </c>
      <c r="C324" s="1" t="s">
        <v>14</v>
      </c>
      <c r="D324" s="1">
        <v>44</v>
      </c>
      <c r="E324" s="1">
        <v>38</v>
      </c>
      <c r="F324" s="1">
        <v>11</v>
      </c>
      <c r="G324" s="1">
        <v>11</v>
      </c>
      <c r="H324" s="1">
        <v>16</v>
      </c>
      <c r="I324" s="1">
        <v>34</v>
      </c>
      <c r="J324" s="1">
        <v>35</v>
      </c>
      <c r="K324" s="1">
        <v>-1</v>
      </c>
      <c r="L324" s="1">
        <f t="shared" si="5"/>
        <v>1.2941176470588236</v>
      </c>
    </row>
    <row r="325" spans="1:12" x14ac:dyDescent="0.25">
      <c r="A325" s="1">
        <v>2018</v>
      </c>
      <c r="B325" s="1">
        <v>14</v>
      </c>
      <c r="C325" s="1" t="s">
        <v>39</v>
      </c>
      <c r="D325" s="1">
        <v>44</v>
      </c>
      <c r="E325" s="1">
        <v>38</v>
      </c>
      <c r="F325" s="1">
        <v>11</v>
      </c>
      <c r="G325" s="1">
        <v>11</v>
      </c>
      <c r="H325" s="1">
        <v>16</v>
      </c>
      <c r="I325" s="1">
        <v>34</v>
      </c>
      <c r="J325" s="1">
        <v>50</v>
      </c>
      <c r="K325" s="1">
        <v>-16</v>
      </c>
      <c r="L325" s="1">
        <f t="shared" si="5"/>
        <v>1.2941176470588236</v>
      </c>
    </row>
    <row r="326" spans="1:12" x14ac:dyDescent="0.25">
      <c r="A326" s="1">
        <v>2018</v>
      </c>
      <c r="B326" s="1">
        <v>15</v>
      </c>
      <c r="C326" s="1" t="s">
        <v>36</v>
      </c>
      <c r="D326" s="1">
        <v>44</v>
      </c>
      <c r="E326" s="1">
        <v>38</v>
      </c>
      <c r="F326" s="1">
        <v>10</v>
      </c>
      <c r="G326" s="1">
        <v>14</v>
      </c>
      <c r="H326" s="1">
        <v>14</v>
      </c>
      <c r="I326" s="1">
        <v>32</v>
      </c>
      <c r="J326" s="1">
        <v>38</v>
      </c>
      <c r="K326" s="1">
        <v>-6</v>
      </c>
      <c r="L326" s="1">
        <f t="shared" si="5"/>
        <v>1.375</v>
      </c>
    </row>
    <row r="327" spans="1:12" x14ac:dyDescent="0.25">
      <c r="A327" s="1">
        <v>2018</v>
      </c>
      <c r="B327" s="1">
        <v>16</v>
      </c>
      <c r="C327" s="1" t="s">
        <v>16</v>
      </c>
      <c r="D327" s="1">
        <v>43</v>
      </c>
      <c r="E327" s="1">
        <v>38</v>
      </c>
      <c r="F327" s="1">
        <v>10</v>
      </c>
      <c r="G327" s="1">
        <v>13</v>
      </c>
      <c r="H327" s="1">
        <v>15</v>
      </c>
      <c r="I327" s="1">
        <v>41</v>
      </c>
      <c r="J327" s="1">
        <v>48</v>
      </c>
      <c r="K327" s="1">
        <v>-7</v>
      </c>
      <c r="L327" s="1">
        <f t="shared" si="5"/>
        <v>1.0487804878048781</v>
      </c>
    </row>
    <row r="328" spans="1:12" x14ac:dyDescent="0.25">
      <c r="A328" s="1">
        <v>2018</v>
      </c>
      <c r="B328" s="1">
        <v>17</v>
      </c>
      <c r="C328" s="1" t="s">
        <v>28</v>
      </c>
      <c r="D328" s="1">
        <v>42</v>
      </c>
      <c r="E328" s="1">
        <v>38</v>
      </c>
      <c r="F328" s="1">
        <v>11</v>
      </c>
      <c r="G328" s="1">
        <v>9</v>
      </c>
      <c r="H328" s="1">
        <v>18</v>
      </c>
      <c r="I328" s="1">
        <v>35</v>
      </c>
      <c r="J328" s="1">
        <v>57</v>
      </c>
      <c r="K328" s="1">
        <v>-22</v>
      </c>
      <c r="L328" s="1">
        <f t="shared" si="5"/>
        <v>1.2</v>
      </c>
    </row>
    <row r="329" spans="1:12" x14ac:dyDescent="0.25">
      <c r="A329" s="1">
        <v>2018</v>
      </c>
      <c r="B329" s="1">
        <v>18</v>
      </c>
      <c r="C329" s="1" t="s">
        <v>38</v>
      </c>
      <c r="D329" s="1">
        <v>40</v>
      </c>
      <c r="E329" s="1">
        <v>38</v>
      </c>
      <c r="F329" s="1">
        <v>10</v>
      </c>
      <c r="G329" s="1">
        <v>10</v>
      </c>
      <c r="H329" s="1">
        <v>18</v>
      </c>
      <c r="I329" s="1">
        <v>30</v>
      </c>
      <c r="J329" s="1">
        <v>47</v>
      </c>
      <c r="K329" s="1">
        <v>-17</v>
      </c>
      <c r="L329" s="1">
        <f t="shared" si="5"/>
        <v>1.3333333333333333</v>
      </c>
    </row>
    <row r="330" spans="1:12" x14ac:dyDescent="0.25">
      <c r="A330" s="1">
        <v>2018</v>
      </c>
      <c r="B330" s="1">
        <v>19</v>
      </c>
      <c r="C330" s="1" t="s">
        <v>15</v>
      </c>
      <c r="D330" s="1">
        <v>37</v>
      </c>
      <c r="E330" s="1">
        <v>38</v>
      </c>
      <c r="F330" s="1">
        <v>9</v>
      </c>
      <c r="G330" s="1">
        <v>10</v>
      </c>
      <c r="H330" s="1">
        <v>19</v>
      </c>
      <c r="I330" s="1">
        <v>36</v>
      </c>
      <c r="J330" s="1">
        <v>63</v>
      </c>
      <c r="K330" s="1">
        <v>-27</v>
      </c>
      <c r="L330" s="1">
        <f t="shared" si="5"/>
        <v>1.0277777777777777</v>
      </c>
    </row>
    <row r="331" spans="1:12" x14ac:dyDescent="0.25">
      <c r="A331" s="1">
        <v>2018</v>
      </c>
      <c r="B331" s="1">
        <v>20</v>
      </c>
      <c r="C331" s="1" t="s">
        <v>9</v>
      </c>
      <c r="D331" s="1">
        <v>23</v>
      </c>
      <c r="E331" s="1">
        <v>38</v>
      </c>
      <c r="F331" s="1">
        <v>4</v>
      </c>
      <c r="G331" s="1">
        <v>11</v>
      </c>
      <c r="H331" s="1">
        <v>23</v>
      </c>
      <c r="I331" s="1">
        <v>18</v>
      </c>
      <c r="J331" s="1">
        <v>57</v>
      </c>
      <c r="K331" s="1">
        <v>-39</v>
      </c>
      <c r="L331" s="1">
        <f t="shared" si="5"/>
        <v>1.2777777777777777</v>
      </c>
    </row>
    <row r="332" spans="1:12" x14ac:dyDescent="0.25">
      <c r="A332" s="1">
        <v>2019</v>
      </c>
      <c r="B332" s="1">
        <v>1</v>
      </c>
      <c r="C332" s="1" t="s">
        <v>7</v>
      </c>
      <c r="D332" s="1">
        <v>90</v>
      </c>
      <c r="E332" s="1">
        <v>38</v>
      </c>
      <c r="F332" s="1">
        <v>28</v>
      </c>
      <c r="G332" s="1">
        <v>6</v>
      </c>
      <c r="H332" s="1">
        <v>4</v>
      </c>
      <c r="I332" s="1">
        <v>86</v>
      </c>
      <c r="J332" s="1">
        <v>37</v>
      </c>
      <c r="K332" s="1">
        <v>49</v>
      </c>
      <c r="L332" s="1">
        <f t="shared" si="5"/>
        <v>1.0465116279069768</v>
      </c>
    </row>
    <row r="333" spans="1:12" x14ac:dyDescent="0.25">
      <c r="A333" s="1">
        <v>2019</v>
      </c>
      <c r="B333" s="1">
        <v>2</v>
      </c>
      <c r="C333" s="1" t="s">
        <v>1</v>
      </c>
      <c r="D333" s="1">
        <v>74</v>
      </c>
      <c r="E333" s="1">
        <v>38</v>
      </c>
      <c r="F333" s="1">
        <v>22</v>
      </c>
      <c r="G333" s="1">
        <v>8</v>
      </c>
      <c r="H333" s="1">
        <v>8</v>
      </c>
      <c r="I333" s="1">
        <v>60</v>
      </c>
      <c r="J333" s="1">
        <v>33</v>
      </c>
      <c r="K333" s="1">
        <v>27</v>
      </c>
      <c r="L333" s="1">
        <f t="shared" si="5"/>
        <v>1.2333333333333334</v>
      </c>
    </row>
    <row r="334" spans="1:12" x14ac:dyDescent="0.25">
      <c r="A334" s="1">
        <v>2019</v>
      </c>
      <c r="B334" s="1">
        <v>3</v>
      </c>
      <c r="C334" s="1" t="s">
        <v>24</v>
      </c>
      <c r="D334" s="1">
        <v>74</v>
      </c>
      <c r="E334" s="1">
        <v>38</v>
      </c>
      <c r="F334" s="1">
        <v>21</v>
      </c>
      <c r="G334" s="1">
        <v>11</v>
      </c>
      <c r="H334" s="1">
        <v>6</v>
      </c>
      <c r="I334" s="1">
        <v>61</v>
      </c>
      <c r="J334" s="1">
        <v>32</v>
      </c>
      <c r="K334" s="1">
        <v>29</v>
      </c>
      <c r="L334" s="1">
        <f t="shared" si="5"/>
        <v>1.2131147540983607</v>
      </c>
    </row>
    <row r="335" spans="1:12" x14ac:dyDescent="0.25">
      <c r="A335" s="1">
        <v>2019</v>
      </c>
      <c r="B335" s="1">
        <v>4</v>
      </c>
      <c r="C335" s="1" t="s">
        <v>20</v>
      </c>
      <c r="D335" s="1">
        <v>65</v>
      </c>
      <c r="E335" s="1">
        <v>38</v>
      </c>
      <c r="F335" s="1">
        <v>19</v>
      </c>
      <c r="G335" s="1">
        <v>8</v>
      </c>
      <c r="H335" s="1">
        <v>11</v>
      </c>
      <c r="I335" s="1">
        <v>64</v>
      </c>
      <c r="J335" s="1">
        <v>39</v>
      </c>
      <c r="K335" s="1">
        <v>25</v>
      </c>
      <c r="L335" s="1">
        <f t="shared" si="5"/>
        <v>1.015625</v>
      </c>
    </row>
    <row r="336" spans="1:12" x14ac:dyDescent="0.25">
      <c r="A336" s="1">
        <v>2019</v>
      </c>
      <c r="B336" s="1">
        <v>5</v>
      </c>
      <c r="C336" s="1" t="s">
        <v>11</v>
      </c>
      <c r="D336" s="1">
        <v>64</v>
      </c>
      <c r="E336" s="1">
        <v>38</v>
      </c>
      <c r="F336" s="1">
        <v>18</v>
      </c>
      <c r="G336" s="1">
        <v>10</v>
      </c>
      <c r="H336" s="1">
        <v>10</v>
      </c>
      <c r="I336" s="1">
        <v>51</v>
      </c>
      <c r="J336" s="1">
        <v>32</v>
      </c>
      <c r="K336" s="1">
        <v>19</v>
      </c>
      <c r="L336" s="1">
        <f t="shared" si="5"/>
        <v>1.2549019607843137</v>
      </c>
    </row>
    <row r="337" spans="1:12" x14ac:dyDescent="0.25">
      <c r="A337" s="1">
        <v>2019</v>
      </c>
      <c r="B337" s="1">
        <v>6</v>
      </c>
      <c r="C337" s="1" t="s">
        <v>2</v>
      </c>
      <c r="D337" s="1">
        <v>63</v>
      </c>
      <c r="E337" s="1">
        <v>38</v>
      </c>
      <c r="F337" s="1">
        <v>17</v>
      </c>
      <c r="G337" s="1">
        <v>12</v>
      </c>
      <c r="H337" s="1">
        <v>9</v>
      </c>
      <c r="I337" s="1">
        <v>39</v>
      </c>
      <c r="J337" s="1">
        <v>30</v>
      </c>
      <c r="K337" s="1">
        <v>9</v>
      </c>
      <c r="L337" s="1">
        <f t="shared" si="5"/>
        <v>1.6153846153846154</v>
      </c>
    </row>
    <row r="338" spans="1:12" x14ac:dyDescent="0.25">
      <c r="A338" s="1">
        <v>2019</v>
      </c>
      <c r="B338" s="1">
        <v>7</v>
      </c>
      <c r="C338" s="1" t="s">
        <v>6</v>
      </c>
      <c r="D338" s="1">
        <v>57</v>
      </c>
      <c r="E338" s="1">
        <v>38</v>
      </c>
      <c r="F338" s="1">
        <v>16</v>
      </c>
      <c r="G338" s="1">
        <v>9</v>
      </c>
      <c r="H338" s="1">
        <v>13</v>
      </c>
      <c r="I338" s="1">
        <v>44</v>
      </c>
      <c r="J338" s="1">
        <v>39</v>
      </c>
      <c r="K338" s="1">
        <v>5</v>
      </c>
      <c r="L338" s="1">
        <f t="shared" si="5"/>
        <v>1.2954545454545454</v>
      </c>
    </row>
    <row r="339" spans="1:12" x14ac:dyDescent="0.25">
      <c r="A339" s="1">
        <v>2019</v>
      </c>
      <c r="B339" s="1">
        <v>8</v>
      </c>
      <c r="C339" s="1" t="s">
        <v>14</v>
      </c>
      <c r="D339" s="1">
        <v>56</v>
      </c>
      <c r="E339" s="1">
        <v>38</v>
      </c>
      <c r="F339" s="1">
        <v>14</v>
      </c>
      <c r="G339" s="1">
        <v>14</v>
      </c>
      <c r="H339" s="1">
        <v>10</v>
      </c>
      <c r="I339" s="1">
        <v>42</v>
      </c>
      <c r="J339" s="1">
        <v>34</v>
      </c>
      <c r="K339" s="1">
        <v>8</v>
      </c>
      <c r="L339" s="1">
        <f t="shared" si="5"/>
        <v>1.3333333333333333</v>
      </c>
    </row>
    <row r="340" spans="1:12" x14ac:dyDescent="0.25">
      <c r="A340" s="1">
        <v>2019</v>
      </c>
      <c r="B340" s="1">
        <v>9</v>
      </c>
      <c r="C340" s="1" t="s">
        <v>22</v>
      </c>
      <c r="D340" s="1">
        <v>53</v>
      </c>
      <c r="E340" s="1">
        <v>38</v>
      </c>
      <c r="F340" s="1">
        <v>15</v>
      </c>
      <c r="G340" s="1">
        <v>8</v>
      </c>
      <c r="H340" s="1">
        <v>15</v>
      </c>
      <c r="I340" s="1">
        <v>50</v>
      </c>
      <c r="J340" s="1">
        <v>49</v>
      </c>
      <c r="K340" s="1">
        <v>1</v>
      </c>
      <c r="L340" s="1">
        <f t="shared" si="5"/>
        <v>1.06</v>
      </c>
    </row>
    <row r="341" spans="1:12" x14ac:dyDescent="0.25">
      <c r="A341" s="1">
        <v>2019</v>
      </c>
      <c r="B341" s="1">
        <v>10</v>
      </c>
      <c r="C341" s="1" t="s">
        <v>8</v>
      </c>
      <c r="D341" s="1">
        <v>52</v>
      </c>
      <c r="E341" s="1">
        <v>38</v>
      </c>
      <c r="F341" s="1">
        <v>15</v>
      </c>
      <c r="G341" s="1">
        <v>7</v>
      </c>
      <c r="H341" s="1">
        <v>16</v>
      </c>
      <c r="I341" s="1">
        <v>46</v>
      </c>
      <c r="J341" s="1">
        <v>64</v>
      </c>
      <c r="K341" s="1">
        <v>-18</v>
      </c>
      <c r="L341" s="1">
        <f t="shared" si="5"/>
        <v>1.1304347826086956</v>
      </c>
    </row>
    <row r="342" spans="1:12" x14ac:dyDescent="0.25">
      <c r="A342" s="1">
        <v>2019</v>
      </c>
      <c r="B342" s="1">
        <v>11</v>
      </c>
      <c r="C342" s="1" t="s">
        <v>23</v>
      </c>
      <c r="D342" s="1">
        <v>49</v>
      </c>
      <c r="E342" s="1">
        <v>38</v>
      </c>
      <c r="F342" s="1">
        <v>12</v>
      </c>
      <c r="G342" s="1">
        <v>13</v>
      </c>
      <c r="H342" s="1">
        <v>13</v>
      </c>
      <c r="I342" s="1">
        <v>44</v>
      </c>
      <c r="J342" s="1">
        <v>43</v>
      </c>
      <c r="K342" s="1">
        <v>1</v>
      </c>
      <c r="L342" s="1">
        <f t="shared" si="5"/>
        <v>1.1136363636363635</v>
      </c>
    </row>
    <row r="343" spans="1:12" x14ac:dyDescent="0.25">
      <c r="A343" s="1">
        <v>2019</v>
      </c>
      <c r="B343" s="1">
        <v>12</v>
      </c>
      <c r="C343" s="1" t="s">
        <v>16</v>
      </c>
      <c r="D343" s="1">
        <v>49</v>
      </c>
      <c r="E343" s="1">
        <v>38</v>
      </c>
      <c r="F343" s="1">
        <v>12</v>
      </c>
      <c r="G343" s="1">
        <v>13</v>
      </c>
      <c r="H343" s="1">
        <v>13</v>
      </c>
      <c r="I343" s="1">
        <v>39</v>
      </c>
      <c r="J343" s="1">
        <v>45</v>
      </c>
      <c r="K343" s="1">
        <v>-6</v>
      </c>
      <c r="L343" s="1">
        <f t="shared" si="5"/>
        <v>1.2564102564102564</v>
      </c>
    </row>
    <row r="344" spans="1:12" x14ac:dyDescent="0.25">
      <c r="A344" s="1">
        <v>2019</v>
      </c>
      <c r="B344" s="1">
        <v>13</v>
      </c>
      <c r="C344" s="1" t="s">
        <v>5</v>
      </c>
      <c r="D344" s="1">
        <v>48</v>
      </c>
      <c r="E344" s="1">
        <v>38</v>
      </c>
      <c r="F344" s="1">
        <v>13</v>
      </c>
      <c r="G344" s="1">
        <v>9</v>
      </c>
      <c r="H344" s="1">
        <v>16</v>
      </c>
      <c r="I344" s="1">
        <v>45</v>
      </c>
      <c r="J344" s="1">
        <v>49</v>
      </c>
      <c r="K344" s="1">
        <v>-4</v>
      </c>
      <c r="L344" s="1">
        <f t="shared" si="5"/>
        <v>1.0666666666666667</v>
      </c>
    </row>
    <row r="345" spans="1:12" x14ac:dyDescent="0.25">
      <c r="A345" s="1">
        <v>2019</v>
      </c>
      <c r="B345" s="1">
        <v>14</v>
      </c>
      <c r="C345" s="1" t="s">
        <v>18</v>
      </c>
      <c r="D345" s="1">
        <v>46</v>
      </c>
      <c r="E345" s="1">
        <v>38</v>
      </c>
      <c r="F345" s="1">
        <v>12</v>
      </c>
      <c r="G345" s="1">
        <v>10</v>
      </c>
      <c r="H345" s="1">
        <v>16</v>
      </c>
      <c r="I345" s="1">
        <v>38</v>
      </c>
      <c r="J345" s="1">
        <v>46</v>
      </c>
      <c r="K345" s="1">
        <v>-8</v>
      </c>
      <c r="L345" s="1">
        <f t="shared" si="5"/>
        <v>1.2105263157894737</v>
      </c>
    </row>
    <row r="346" spans="1:12" x14ac:dyDescent="0.25">
      <c r="A346" s="1">
        <v>2019</v>
      </c>
      <c r="B346" s="1">
        <v>15</v>
      </c>
      <c r="C346" s="1" t="s">
        <v>25</v>
      </c>
      <c r="D346" s="1">
        <v>43</v>
      </c>
      <c r="E346" s="1">
        <v>38</v>
      </c>
      <c r="F346" s="1">
        <v>13</v>
      </c>
      <c r="G346" s="1">
        <v>4</v>
      </c>
      <c r="H346" s="1">
        <v>21</v>
      </c>
      <c r="I346" s="1">
        <v>31</v>
      </c>
      <c r="J346" s="1">
        <v>45</v>
      </c>
      <c r="K346" s="1">
        <v>-14</v>
      </c>
      <c r="L346" s="1">
        <f t="shared" si="5"/>
        <v>1.3870967741935485</v>
      </c>
    </row>
    <row r="347" spans="1:12" x14ac:dyDescent="0.25">
      <c r="A347" s="1">
        <v>2019</v>
      </c>
      <c r="B347" s="1">
        <v>16</v>
      </c>
      <c r="C347" s="1" t="s">
        <v>36</v>
      </c>
      <c r="D347" s="1">
        <v>39</v>
      </c>
      <c r="E347" s="1">
        <v>38</v>
      </c>
      <c r="F347" s="1">
        <v>10</v>
      </c>
      <c r="G347" s="1">
        <v>9</v>
      </c>
      <c r="H347" s="1">
        <v>19</v>
      </c>
      <c r="I347" s="1">
        <v>36</v>
      </c>
      <c r="J347" s="1">
        <v>41</v>
      </c>
      <c r="K347" s="1">
        <v>-5</v>
      </c>
      <c r="L347" s="1">
        <f t="shared" si="5"/>
        <v>1.0833333333333333</v>
      </c>
    </row>
    <row r="348" spans="1:12" x14ac:dyDescent="0.25">
      <c r="A348" s="1">
        <v>2019</v>
      </c>
      <c r="B348" s="1">
        <v>17</v>
      </c>
      <c r="C348" s="1" t="s">
        <v>0</v>
      </c>
      <c r="D348" s="1">
        <v>36</v>
      </c>
      <c r="E348" s="1">
        <v>38</v>
      </c>
      <c r="F348" s="1">
        <v>7</v>
      </c>
      <c r="G348" s="1">
        <v>15</v>
      </c>
      <c r="H348" s="1">
        <v>16</v>
      </c>
      <c r="I348" s="1">
        <v>27</v>
      </c>
      <c r="J348" s="1">
        <v>46</v>
      </c>
      <c r="K348" s="1">
        <v>-19</v>
      </c>
      <c r="L348" s="1">
        <f t="shared" si="5"/>
        <v>1.3333333333333333</v>
      </c>
    </row>
    <row r="349" spans="1:12" x14ac:dyDescent="0.25">
      <c r="A349" s="1">
        <v>2019</v>
      </c>
      <c r="B349" s="1">
        <v>18</v>
      </c>
      <c r="C349" s="1" t="s">
        <v>41</v>
      </c>
      <c r="D349" s="1">
        <v>32</v>
      </c>
      <c r="E349" s="1">
        <v>38</v>
      </c>
      <c r="F349" s="1">
        <v>8</v>
      </c>
      <c r="G349" s="1">
        <v>8</v>
      </c>
      <c r="H349" s="1">
        <v>22</v>
      </c>
      <c r="I349" s="1">
        <v>24</v>
      </c>
      <c r="J349" s="1">
        <v>58</v>
      </c>
      <c r="K349" s="1">
        <v>-34</v>
      </c>
      <c r="L349" s="1">
        <f t="shared" si="5"/>
        <v>1.3333333333333333</v>
      </c>
    </row>
    <row r="350" spans="1:12" x14ac:dyDescent="0.25">
      <c r="A350" s="1">
        <v>2019</v>
      </c>
      <c r="B350" s="1">
        <v>19</v>
      </c>
      <c r="C350" s="1" t="s">
        <v>39</v>
      </c>
      <c r="D350" s="1">
        <v>32</v>
      </c>
      <c r="E350" s="1">
        <v>38</v>
      </c>
      <c r="F350" s="1">
        <v>7</v>
      </c>
      <c r="G350" s="1">
        <v>11</v>
      </c>
      <c r="H350" s="1">
        <v>20</v>
      </c>
      <c r="I350" s="1">
        <v>31</v>
      </c>
      <c r="J350" s="1">
        <v>52</v>
      </c>
      <c r="K350" s="1">
        <v>-21</v>
      </c>
      <c r="L350" s="1">
        <f t="shared" si="5"/>
        <v>1.032258064516129</v>
      </c>
    </row>
    <row r="351" spans="1:12" x14ac:dyDescent="0.25">
      <c r="A351" s="1">
        <v>2019</v>
      </c>
      <c r="B351" s="1">
        <v>20</v>
      </c>
      <c r="C351" s="1" t="s">
        <v>33</v>
      </c>
      <c r="D351" s="1">
        <v>20</v>
      </c>
      <c r="E351" s="1">
        <v>38</v>
      </c>
      <c r="F351" s="1">
        <v>3</v>
      </c>
      <c r="G351" s="1">
        <v>11</v>
      </c>
      <c r="H351" s="1">
        <v>24</v>
      </c>
      <c r="I351" s="1">
        <v>18</v>
      </c>
      <c r="J351" s="1">
        <v>62</v>
      </c>
      <c r="K351" s="1">
        <v>-44</v>
      </c>
      <c r="L351" s="1">
        <f t="shared" si="5"/>
        <v>1.1111111111111112</v>
      </c>
    </row>
    <row r="352" spans="1:12" x14ac:dyDescent="0.25">
      <c r="A352" s="1">
        <v>2020</v>
      </c>
      <c r="B352" s="1">
        <v>1</v>
      </c>
      <c r="C352" s="1" t="s">
        <v>7</v>
      </c>
      <c r="D352" s="1">
        <v>71</v>
      </c>
      <c r="E352" s="1">
        <v>38</v>
      </c>
      <c r="F352" s="1">
        <v>21</v>
      </c>
      <c r="G352" s="1">
        <v>8</v>
      </c>
      <c r="H352" s="1">
        <v>9</v>
      </c>
      <c r="I352" s="1">
        <v>68</v>
      </c>
      <c r="J352" s="1">
        <v>48</v>
      </c>
      <c r="K352" s="1">
        <v>20</v>
      </c>
      <c r="L352" s="1">
        <f t="shared" si="5"/>
        <v>1.0441176470588236</v>
      </c>
    </row>
    <row r="353" spans="1:12" x14ac:dyDescent="0.25">
      <c r="A353" s="1">
        <v>2020</v>
      </c>
      <c r="B353" s="1">
        <v>2</v>
      </c>
      <c r="C353" s="1" t="s">
        <v>6</v>
      </c>
      <c r="D353" s="1">
        <v>70</v>
      </c>
      <c r="E353" s="1">
        <v>38</v>
      </c>
      <c r="F353" s="1">
        <v>20</v>
      </c>
      <c r="G353" s="1">
        <v>10</v>
      </c>
      <c r="H353" s="1">
        <v>8</v>
      </c>
      <c r="I353" s="1">
        <v>61</v>
      </c>
      <c r="J353" s="1">
        <v>35</v>
      </c>
      <c r="K353" s="1">
        <v>26</v>
      </c>
      <c r="L353" s="1">
        <f t="shared" si="5"/>
        <v>1.1475409836065573</v>
      </c>
    </row>
    <row r="354" spans="1:12" x14ac:dyDescent="0.25">
      <c r="A354" s="1">
        <v>2020</v>
      </c>
      <c r="B354" s="1">
        <v>3</v>
      </c>
      <c r="C354" s="1" t="s">
        <v>5</v>
      </c>
      <c r="D354" s="1">
        <v>68</v>
      </c>
      <c r="E354" s="1">
        <v>38</v>
      </c>
      <c r="F354" s="1">
        <v>20</v>
      </c>
      <c r="G354" s="1">
        <v>8</v>
      </c>
      <c r="H354" s="1">
        <v>10</v>
      </c>
      <c r="I354" s="1">
        <v>64</v>
      </c>
      <c r="J354" s="1">
        <v>45</v>
      </c>
      <c r="K354" s="1">
        <v>19</v>
      </c>
      <c r="L354" s="1">
        <f t="shared" si="5"/>
        <v>1.0625</v>
      </c>
    </row>
    <row r="355" spans="1:12" x14ac:dyDescent="0.25">
      <c r="A355" s="1">
        <v>2020</v>
      </c>
      <c r="B355" s="1">
        <v>4</v>
      </c>
      <c r="C355" s="1" t="s">
        <v>2</v>
      </c>
      <c r="D355" s="1">
        <v>66</v>
      </c>
      <c r="E355" s="1">
        <v>38</v>
      </c>
      <c r="F355" s="1">
        <v>18</v>
      </c>
      <c r="G355" s="1">
        <v>12</v>
      </c>
      <c r="H355" s="1">
        <v>8</v>
      </c>
      <c r="I355" s="1">
        <v>59</v>
      </c>
      <c r="J355" s="1">
        <v>41</v>
      </c>
      <c r="K355" s="1">
        <v>18</v>
      </c>
      <c r="L355" s="1">
        <f t="shared" si="5"/>
        <v>1.1186440677966101</v>
      </c>
    </row>
    <row r="356" spans="1:12" x14ac:dyDescent="0.25">
      <c r="A356" s="1">
        <v>2020</v>
      </c>
      <c r="B356" s="1">
        <v>5</v>
      </c>
      <c r="C356" s="1" t="s">
        <v>18</v>
      </c>
      <c r="D356" s="1">
        <v>64</v>
      </c>
      <c r="E356" s="1">
        <v>38</v>
      </c>
      <c r="F356" s="1">
        <v>18</v>
      </c>
      <c r="G356" s="1">
        <v>10</v>
      </c>
      <c r="H356" s="1">
        <v>10</v>
      </c>
      <c r="I356" s="1">
        <v>55</v>
      </c>
      <c r="J356" s="1">
        <v>42</v>
      </c>
      <c r="K356" s="1">
        <v>13</v>
      </c>
      <c r="L356" s="1">
        <f t="shared" si="5"/>
        <v>1.1636363636363636</v>
      </c>
    </row>
    <row r="357" spans="1:12" x14ac:dyDescent="0.25">
      <c r="A357" s="1">
        <v>2020</v>
      </c>
      <c r="B357" s="1">
        <v>6</v>
      </c>
      <c r="C357" s="1" t="s">
        <v>20</v>
      </c>
      <c r="D357" s="1">
        <v>59</v>
      </c>
      <c r="E357" s="1">
        <v>38</v>
      </c>
      <c r="F357" s="1">
        <v>14</v>
      </c>
      <c r="G357" s="1">
        <v>17</v>
      </c>
      <c r="H357" s="1">
        <v>7</v>
      </c>
      <c r="I357" s="1">
        <v>53</v>
      </c>
      <c r="J357" s="1">
        <v>40</v>
      </c>
      <c r="K357" s="1">
        <v>13</v>
      </c>
      <c r="L357" s="1">
        <f t="shared" si="5"/>
        <v>1.1132075471698113</v>
      </c>
    </row>
    <row r="358" spans="1:12" x14ac:dyDescent="0.25">
      <c r="A358" s="1">
        <v>2020</v>
      </c>
      <c r="B358" s="1">
        <v>7</v>
      </c>
      <c r="C358" s="1" t="s">
        <v>24</v>
      </c>
      <c r="D358" s="1">
        <v>58</v>
      </c>
      <c r="E358" s="1">
        <v>38</v>
      </c>
      <c r="F358" s="1">
        <v>15</v>
      </c>
      <c r="G358" s="1">
        <v>13</v>
      </c>
      <c r="H358" s="1">
        <v>10</v>
      </c>
      <c r="I358" s="1">
        <v>51</v>
      </c>
      <c r="J358" s="1">
        <v>37</v>
      </c>
      <c r="K358" s="1">
        <v>14</v>
      </c>
      <c r="L358" s="1">
        <f t="shared" si="5"/>
        <v>1.1372549019607843</v>
      </c>
    </row>
    <row r="359" spans="1:12" x14ac:dyDescent="0.25">
      <c r="A359" s="1">
        <v>2020</v>
      </c>
      <c r="B359" s="1">
        <v>8</v>
      </c>
      <c r="C359" s="1" t="s">
        <v>1</v>
      </c>
      <c r="D359" s="1">
        <v>54</v>
      </c>
      <c r="E359" s="1">
        <v>38</v>
      </c>
      <c r="F359" s="1">
        <v>14</v>
      </c>
      <c r="G359" s="1">
        <v>12</v>
      </c>
      <c r="H359" s="1">
        <v>12</v>
      </c>
      <c r="I359" s="1">
        <v>52</v>
      </c>
      <c r="J359" s="1">
        <v>51</v>
      </c>
      <c r="K359" s="1">
        <v>1</v>
      </c>
      <c r="L359" s="1">
        <f t="shared" si="5"/>
        <v>1.0384615384615385</v>
      </c>
    </row>
    <row r="360" spans="1:12" x14ac:dyDescent="0.25">
      <c r="A360" s="1">
        <v>2020</v>
      </c>
      <c r="B360" s="1">
        <v>9</v>
      </c>
      <c r="C360" s="1" t="s">
        <v>11</v>
      </c>
      <c r="D360" s="1">
        <v>53</v>
      </c>
      <c r="E360" s="1">
        <v>38</v>
      </c>
      <c r="F360" s="1">
        <v>15</v>
      </c>
      <c r="G360" s="1">
        <v>8</v>
      </c>
      <c r="H360" s="1">
        <v>15</v>
      </c>
      <c r="I360" s="1">
        <v>38</v>
      </c>
      <c r="J360" s="1">
        <v>36</v>
      </c>
      <c r="K360" s="1">
        <v>2</v>
      </c>
      <c r="L360" s="1">
        <f t="shared" si="5"/>
        <v>1.3947368421052631</v>
      </c>
    </row>
    <row r="361" spans="1:12" x14ac:dyDescent="0.25">
      <c r="A361" s="1">
        <v>2020</v>
      </c>
      <c r="B361" s="1">
        <v>10</v>
      </c>
      <c r="C361" s="1" t="s">
        <v>42</v>
      </c>
      <c r="D361" s="1">
        <v>53</v>
      </c>
      <c r="E361" s="1">
        <v>38</v>
      </c>
      <c r="F361" s="1">
        <v>13</v>
      </c>
      <c r="G361" s="1">
        <v>14</v>
      </c>
      <c r="H361" s="1">
        <v>11</v>
      </c>
      <c r="I361" s="1">
        <v>50</v>
      </c>
      <c r="J361" s="1">
        <v>40</v>
      </c>
      <c r="K361" s="1">
        <v>10</v>
      </c>
      <c r="L361" s="1">
        <f t="shared" si="5"/>
        <v>1.06</v>
      </c>
    </row>
    <row r="362" spans="1:12" x14ac:dyDescent="0.25">
      <c r="A362" s="1">
        <v>2020</v>
      </c>
      <c r="B362" s="1">
        <v>11</v>
      </c>
      <c r="C362" s="1" t="s">
        <v>36</v>
      </c>
      <c r="D362" s="1">
        <v>52</v>
      </c>
      <c r="E362" s="1">
        <v>38</v>
      </c>
      <c r="F362" s="1">
        <v>14</v>
      </c>
      <c r="G362" s="1">
        <v>10</v>
      </c>
      <c r="H362" s="1">
        <v>14</v>
      </c>
      <c r="I362" s="1">
        <v>54</v>
      </c>
      <c r="J362" s="1">
        <v>51</v>
      </c>
      <c r="K362" s="1">
        <v>3</v>
      </c>
      <c r="L362" s="1">
        <f t="shared" si="5"/>
        <v>0.96296296296296291</v>
      </c>
    </row>
    <row r="363" spans="1:12" x14ac:dyDescent="0.25">
      <c r="A363" s="1">
        <v>2020</v>
      </c>
      <c r="B363" s="1">
        <v>12</v>
      </c>
      <c r="C363" s="1" t="s">
        <v>14</v>
      </c>
      <c r="D363" s="1">
        <v>51</v>
      </c>
      <c r="E363" s="1">
        <v>38</v>
      </c>
      <c r="F363" s="1">
        <v>13</v>
      </c>
      <c r="G363" s="1">
        <v>12</v>
      </c>
      <c r="H363" s="1">
        <v>13</v>
      </c>
      <c r="I363" s="1">
        <v>45</v>
      </c>
      <c r="J363" s="1">
        <v>45</v>
      </c>
      <c r="K363" s="1">
        <v>0</v>
      </c>
      <c r="L363" s="1">
        <f t="shared" si="5"/>
        <v>1.1333333333333333</v>
      </c>
    </row>
    <row r="364" spans="1:12" x14ac:dyDescent="0.25">
      <c r="A364" s="1">
        <v>2020</v>
      </c>
      <c r="B364" s="1">
        <v>13</v>
      </c>
      <c r="C364" s="1" t="s">
        <v>37</v>
      </c>
      <c r="D364" s="1">
        <v>50</v>
      </c>
      <c r="E364" s="1">
        <v>38</v>
      </c>
      <c r="F364" s="1">
        <v>12</v>
      </c>
      <c r="G364" s="1">
        <v>14</v>
      </c>
      <c r="H364" s="1">
        <v>12</v>
      </c>
      <c r="I364" s="1">
        <v>40</v>
      </c>
      <c r="J364" s="1">
        <v>45</v>
      </c>
      <c r="K364" s="1">
        <v>-5</v>
      </c>
      <c r="L364" s="1">
        <f t="shared" si="5"/>
        <v>1.25</v>
      </c>
    </row>
    <row r="365" spans="1:12" x14ac:dyDescent="0.25">
      <c r="A365" s="1">
        <v>2020</v>
      </c>
      <c r="B365" s="1">
        <v>14</v>
      </c>
      <c r="C365" s="1" t="s">
        <v>23</v>
      </c>
      <c r="D365" s="1">
        <v>44</v>
      </c>
      <c r="E365" s="1">
        <v>38</v>
      </c>
      <c r="F365" s="1">
        <v>12</v>
      </c>
      <c r="G365" s="1">
        <v>8</v>
      </c>
      <c r="H365" s="1">
        <v>18</v>
      </c>
      <c r="I365" s="1">
        <v>48</v>
      </c>
      <c r="J365" s="1">
        <v>59</v>
      </c>
      <c r="K365" s="1">
        <v>-11</v>
      </c>
      <c r="L365" s="1">
        <f t="shared" si="5"/>
        <v>0.91666666666666663</v>
      </c>
    </row>
    <row r="366" spans="1:12" x14ac:dyDescent="0.25">
      <c r="A366" s="1">
        <v>2020</v>
      </c>
      <c r="B366" s="1">
        <v>15</v>
      </c>
      <c r="C366" s="1" t="s">
        <v>28</v>
      </c>
      <c r="D366" s="1">
        <v>42</v>
      </c>
      <c r="E366" s="1">
        <v>38</v>
      </c>
      <c r="F366" s="1">
        <v>12</v>
      </c>
      <c r="G366" s="1">
        <v>6</v>
      </c>
      <c r="H366" s="1">
        <v>20</v>
      </c>
      <c r="I366" s="1">
        <v>31</v>
      </c>
      <c r="J366" s="1">
        <v>50</v>
      </c>
      <c r="K366" s="1">
        <v>-19</v>
      </c>
      <c r="L366" s="1">
        <f t="shared" si="5"/>
        <v>1.3548387096774193</v>
      </c>
    </row>
    <row r="367" spans="1:12" x14ac:dyDescent="0.25">
      <c r="A367" s="1">
        <v>2020</v>
      </c>
      <c r="B367" s="1">
        <v>16</v>
      </c>
      <c r="C367" s="1" t="s">
        <v>22</v>
      </c>
      <c r="D367" s="1">
        <v>41</v>
      </c>
      <c r="E367" s="1">
        <v>38</v>
      </c>
      <c r="F367" s="1">
        <v>10</v>
      </c>
      <c r="G367" s="1">
        <v>11</v>
      </c>
      <c r="H367" s="1">
        <v>17</v>
      </c>
      <c r="I367" s="1">
        <v>34</v>
      </c>
      <c r="J367" s="1">
        <v>44</v>
      </c>
      <c r="K367" s="1">
        <v>-10</v>
      </c>
      <c r="L367" s="1">
        <f t="shared" si="5"/>
        <v>1.2058823529411764</v>
      </c>
    </row>
    <row r="368" spans="1:12" x14ac:dyDescent="0.25">
      <c r="A368" s="1">
        <v>2020</v>
      </c>
      <c r="B368" s="1">
        <v>17</v>
      </c>
      <c r="C368" s="1" t="s">
        <v>16</v>
      </c>
      <c r="D368" s="1">
        <v>41</v>
      </c>
      <c r="E368" s="1">
        <v>38</v>
      </c>
      <c r="F368" s="1">
        <v>10</v>
      </c>
      <c r="G368" s="1">
        <v>11</v>
      </c>
      <c r="H368" s="1">
        <v>17</v>
      </c>
      <c r="I368" s="1">
        <v>37</v>
      </c>
      <c r="J368" s="1">
        <v>56</v>
      </c>
      <c r="K368" s="1">
        <v>-19</v>
      </c>
      <c r="L368" s="1">
        <f t="shared" si="5"/>
        <v>1.1081081081081081</v>
      </c>
    </row>
    <row r="369" spans="1:12" x14ac:dyDescent="0.25">
      <c r="A369" s="1">
        <v>2020</v>
      </c>
      <c r="B369" s="1">
        <v>18</v>
      </c>
      <c r="C369" s="1" t="s">
        <v>8</v>
      </c>
      <c r="D369" s="1">
        <v>37</v>
      </c>
      <c r="E369" s="1">
        <v>38</v>
      </c>
      <c r="F369" s="1">
        <v>9</v>
      </c>
      <c r="G369" s="1">
        <v>10</v>
      </c>
      <c r="H369" s="1">
        <v>19</v>
      </c>
      <c r="I369" s="1">
        <v>41</v>
      </c>
      <c r="J369" s="1">
        <v>63</v>
      </c>
      <c r="K369" s="1">
        <v>-22</v>
      </c>
      <c r="L369" s="1">
        <f t="shared" si="5"/>
        <v>0.90243902439024393</v>
      </c>
    </row>
    <row r="370" spans="1:12" x14ac:dyDescent="0.25">
      <c r="A370" s="1">
        <v>2020</v>
      </c>
      <c r="B370" s="1">
        <v>19</v>
      </c>
      <c r="C370" s="1" t="s">
        <v>4</v>
      </c>
      <c r="D370" s="1">
        <v>31</v>
      </c>
      <c r="E370" s="1">
        <v>38</v>
      </c>
      <c r="F370" s="1">
        <v>7</v>
      </c>
      <c r="G370" s="1">
        <v>10</v>
      </c>
      <c r="H370" s="1">
        <v>21</v>
      </c>
      <c r="I370" s="1">
        <v>31</v>
      </c>
      <c r="J370" s="1">
        <v>54</v>
      </c>
      <c r="K370" s="1">
        <v>-23</v>
      </c>
      <c r="L370" s="1">
        <f t="shared" si="5"/>
        <v>1</v>
      </c>
    </row>
    <row r="371" spans="1:12" x14ac:dyDescent="0.25">
      <c r="A371" s="1">
        <v>2020</v>
      </c>
      <c r="B371" s="1">
        <v>20</v>
      </c>
      <c r="C371" s="1" t="s">
        <v>25</v>
      </c>
      <c r="D371" s="1">
        <v>27</v>
      </c>
      <c r="E371" s="1">
        <v>38</v>
      </c>
      <c r="F371" s="1">
        <v>5</v>
      </c>
      <c r="G371" s="1">
        <v>12</v>
      </c>
      <c r="H371" s="1">
        <v>21</v>
      </c>
      <c r="I371" s="1">
        <v>32</v>
      </c>
      <c r="J371" s="1">
        <v>62</v>
      </c>
      <c r="K371" s="1">
        <v>-30</v>
      </c>
      <c r="L371" s="1">
        <f t="shared" si="5"/>
        <v>0.84375</v>
      </c>
    </row>
    <row r="372" spans="1:12" x14ac:dyDescent="0.25">
      <c r="A372" s="1">
        <v>2021</v>
      </c>
      <c r="B372" s="1">
        <v>1</v>
      </c>
      <c r="C372" s="1" t="s">
        <v>5</v>
      </c>
      <c r="D372" s="1">
        <v>84</v>
      </c>
      <c r="E372" s="1">
        <v>38</v>
      </c>
      <c r="F372" s="1">
        <v>26</v>
      </c>
      <c r="G372" s="1">
        <v>6</v>
      </c>
      <c r="H372" s="1">
        <v>6</v>
      </c>
      <c r="I372" s="1">
        <v>67</v>
      </c>
      <c r="J372" s="1">
        <v>34</v>
      </c>
      <c r="K372" s="1">
        <v>33</v>
      </c>
      <c r="L372" s="1">
        <f t="shared" si="5"/>
        <v>1.2537313432835822</v>
      </c>
    </row>
    <row r="373" spans="1:12" x14ac:dyDescent="0.25">
      <c r="A373" s="1">
        <v>2021</v>
      </c>
      <c r="B373" s="1">
        <v>2</v>
      </c>
      <c r="C373" s="1" t="s">
        <v>7</v>
      </c>
      <c r="D373" s="1">
        <v>71</v>
      </c>
      <c r="E373" s="1">
        <v>38</v>
      </c>
      <c r="F373" s="1">
        <v>21</v>
      </c>
      <c r="G373" s="1">
        <v>8</v>
      </c>
      <c r="H373" s="1">
        <v>9</v>
      </c>
      <c r="I373" s="1">
        <v>69</v>
      </c>
      <c r="J373" s="1">
        <v>36</v>
      </c>
      <c r="K373" s="1">
        <v>33</v>
      </c>
      <c r="L373" s="1">
        <f t="shared" si="5"/>
        <v>1.0289855072463767</v>
      </c>
    </row>
    <row r="374" spans="1:12" x14ac:dyDescent="0.25">
      <c r="A374" s="1">
        <v>2021</v>
      </c>
      <c r="B374" s="1">
        <v>3</v>
      </c>
      <c r="C374" s="1" t="s">
        <v>24</v>
      </c>
      <c r="D374" s="1">
        <v>66</v>
      </c>
      <c r="E374" s="1">
        <v>38</v>
      </c>
      <c r="F374" s="1">
        <v>20</v>
      </c>
      <c r="G374" s="1">
        <v>6</v>
      </c>
      <c r="H374" s="1">
        <v>12</v>
      </c>
      <c r="I374" s="1">
        <v>58</v>
      </c>
      <c r="J374" s="1">
        <v>43</v>
      </c>
      <c r="K374" s="1">
        <v>15</v>
      </c>
      <c r="L374" s="1">
        <f t="shared" si="5"/>
        <v>1.1379310344827587</v>
      </c>
    </row>
    <row r="375" spans="1:12" x14ac:dyDescent="0.25">
      <c r="A375" s="1">
        <v>2021</v>
      </c>
      <c r="B375" s="1">
        <v>4</v>
      </c>
      <c r="C375" s="1" t="s">
        <v>22</v>
      </c>
      <c r="D375" s="1">
        <v>58</v>
      </c>
      <c r="E375" s="1">
        <v>38</v>
      </c>
      <c r="F375" s="1">
        <v>17</v>
      </c>
      <c r="G375" s="1">
        <v>7</v>
      </c>
      <c r="H375" s="1">
        <v>14</v>
      </c>
      <c r="I375" s="1">
        <v>44</v>
      </c>
      <c r="J375" s="1">
        <v>45</v>
      </c>
      <c r="K375" s="1">
        <v>-1</v>
      </c>
      <c r="L375" s="1">
        <f t="shared" si="5"/>
        <v>1.3181818181818181</v>
      </c>
    </row>
    <row r="376" spans="1:12" x14ac:dyDescent="0.25">
      <c r="A376" s="1">
        <v>2021</v>
      </c>
      <c r="B376" s="1">
        <v>5</v>
      </c>
      <c r="C376" s="1" t="s">
        <v>14</v>
      </c>
      <c r="D376" s="1">
        <v>57</v>
      </c>
      <c r="E376" s="1">
        <v>38</v>
      </c>
      <c r="F376" s="1">
        <v>15</v>
      </c>
      <c r="G376" s="1">
        <v>12</v>
      </c>
      <c r="H376" s="1">
        <v>11</v>
      </c>
      <c r="I376" s="1">
        <v>40</v>
      </c>
      <c r="J376" s="1">
        <v>36</v>
      </c>
      <c r="K376" s="1">
        <v>4</v>
      </c>
      <c r="L376" s="1">
        <f t="shared" si="5"/>
        <v>1.425</v>
      </c>
    </row>
    <row r="377" spans="1:12" x14ac:dyDescent="0.25">
      <c r="A377" s="1">
        <v>2021</v>
      </c>
      <c r="B377" s="1">
        <v>6</v>
      </c>
      <c r="C377" s="1" t="s">
        <v>42</v>
      </c>
      <c r="D377" s="1">
        <v>56</v>
      </c>
      <c r="E377" s="1">
        <v>38</v>
      </c>
      <c r="F377" s="1">
        <v>14</v>
      </c>
      <c r="G377" s="1">
        <v>14</v>
      </c>
      <c r="H377" s="1">
        <v>10</v>
      </c>
      <c r="I377" s="1">
        <v>55</v>
      </c>
      <c r="J377" s="1">
        <v>46</v>
      </c>
      <c r="K377" s="1">
        <v>9</v>
      </c>
      <c r="L377" s="1">
        <f t="shared" si="5"/>
        <v>1.0181818181818181</v>
      </c>
    </row>
    <row r="378" spans="1:12" x14ac:dyDescent="0.25">
      <c r="A378" s="1">
        <v>2021</v>
      </c>
      <c r="B378" s="1">
        <v>7</v>
      </c>
      <c r="C378" s="1" t="s">
        <v>18</v>
      </c>
      <c r="D378" s="1">
        <v>54</v>
      </c>
      <c r="E378" s="1">
        <v>38</v>
      </c>
      <c r="F378" s="1">
        <v>15</v>
      </c>
      <c r="G378" s="1">
        <v>9</v>
      </c>
      <c r="H378" s="1">
        <v>14</v>
      </c>
      <c r="I378" s="1">
        <v>38</v>
      </c>
      <c r="J378" s="1">
        <v>38</v>
      </c>
      <c r="K378" s="1">
        <v>0</v>
      </c>
      <c r="L378" s="1">
        <f t="shared" si="5"/>
        <v>1.4210526315789473</v>
      </c>
    </row>
    <row r="379" spans="1:12" x14ac:dyDescent="0.25">
      <c r="A379" s="1">
        <v>2021</v>
      </c>
      <c r="B379" s="1">
        <v>8</v>
      </c>
      <c r="C379" s="1" t="s">
        <v>38</v>
      </c>
      <c r="D379" s="1">
        <v>53</v>
      </c>
      <c r="E379" s="1">
        <v>38</v>
      </c>
      <c r="F379" s="1">
        <v>13</v>
      </c>
      <c r="G379" s="1">
        <v>14</v>
      </c>
      <c r="H379" s="1">
        <v>11</v>
      </c>
      <c r="I379" s="1">
        <v>41</v>
      </c>
      <c r="J379" s="1">
        <v>37</v>
      </c>
      <c r="K379" s="1">
        <v>4</v>
      </c>
      <c r="L379" s="1">
        <f t="shared" si="5"/>
        <v>1.2926829268292683</v>
      </c>
    </row>
    <row r="380" spans="1:12" x14ac:dyDescent="0.25">
      <c r="A380" s="1">
        <v>2021</v>
      </c>
      <c r="B380" s="1">
        <v>9</v>
      </c>
      <c r="C380" s="1" t="s">
        <v>37</v>
      </c>
      <c r="D380" s="1">
        <v>53</v>
      </c>
      <c r="E380" s="1">
        <v>38</v>
      </c>
      <c r="F380" s="1">
        <v>13</v>
      </c>
      <c r="G380" s="1">
        <v>14</v>
      </c>
      <c r="H380" s="1">
        <v>11</v>
      </c>
      <c r="I380" s="1">
        <v>33</v>
      </c>
      <c r="J380" s="1">
        <v>36</v>
      </c>
      <c r="K380" s="1">
        <v>-3</v>
      </c>
      <c r="L380" s="1">
        <f t="shared" si="5"/>
        <v>1.606060606060606</v>
      </c>
    </row>
    <row r="381" spans="1:12" x14ac:dyDescent="0.25">
      <c r="A381" s="1">
        <v>2021</v>
      </c>
      <c r="B381" s="1">
        <v>10</v>
      </c>
      <c r="C381" s="1" t="s">
        <v>1</v>
      </c>
      <c r="D381" s="1">
        <v>50</v>
      </c>
      <c r="E381" s="1">
        <v>38</v>
      </c>
      <c r="F381" s="1">
        <v>12</v>
      </c>
      <c r="G381" s="1">
        <v>14</v>
      </c>
      <c r="H381" s="1">
        <v>12</v>
      </c>
      <c r="I381" s="1">
        <v>35</v>
      </c>
      <c r="J381" s="1">
        <v>40</v>
      </c>
      <c r="K381" s="1">
        <v>-5</v>
      </c>
      <c r="L381" s="1">
        <f t="shared" si="5"/>
        <v>1.4285714285714286</v>
      </c>
    </row>
    <row r="382" spans="1:12" x14ac:dyDescent="0.25">
      <c r="A382" s="1">
        <v>2021</v>
      </c>
      <c r="B382" s="1">
        <v>11</v>
      </c>
      <c r="C382" s="1" t="s">
        <v>36</v>
      </c>
      <c r="D382" s="1">
        <v>50</v>
      </c>
      <c r="E382" s="1">
        <v>38</v>
      </c>
      <c r="F382" s="1">
        <v>11</v>
      </c>
      <c r="G382" s="1">
        <v>17</v>
      </c>
      <c r="H382" s="1">
        <v>10</v>
      </c>
      <c r="I382" s="1">
        <v>39</v>
      </c>
      <c r="J382" s="1">
        <v>38</v>
      </c>
      <c r="K382" s="1">
        <v>1</v>
      </c>
      <c r="L382" s="1">
        <f t="shared" si="5"/>
        <v>1.2820512820512822</v>
      </c>
    </row>
    <row r="383" spans="1:12" x14ac:dyDescent="0.25">
      <c r="A383" s="1">
        <v>2021</v>
      </c>
      <c r="B383" s="1">
        <v>12</v>
      </c>
      <c r="C383" s="1" t="s">
        <v>6</v>
      </c>
      <c r="D383" s="1">
        <v>48</v>
      </c>
      <c r="E383" s="1">
        <v>38</v>
      </c>
      <c r="F383" s="1">
        <v>12</v>
      </c>
      <c r="G383" s="1">
        <v>12</v>
      </c>
      <c r="H383" s="1">
        <v>14</v>
      </c>
      <c r="I383" s="1">
        <v>44</v>
      </c>
      <c r="J383" s="1">
        <v>42</v>
      </c>
      <c r="K383" s="1">
        <v>2</v>
      </c>
      <c r="L383" s="1">
        <f t="shared" si="5"/>
        <v>1.0909090909090908</v>
      </c>
    </row>
    <row r="384" spans="1:12" x14ac:dyDescent="0.25">
      <c r="A384" s="1">
        <v>2021</v>
      </c>
      <c r="B384" s="1">
        <v>13</v>
      </c>
      <c r="C384" s="1" t="s">
        <v>2</v>
      </c>
      <c r="D384" s="1">
        <v>48</v>
      </c>
      <c r="E384" s="1">
        <v>38</v>
      </c>
      <c r="F384" s="1">
        <v>11</v>
      </c>
      <c r="G384" s="1">
        <v>15</v>
      </c>
      <c r="H384" s="1">
        <v>12</v>
      </c>
      <c r="I384" s="1">
        <v>31</v>
      </c>
      <c r="J384" s="1">
        <v>39</v>
      </c>
      <c r="K384" s="1">
        <v>-8</v>
      </c>
      <c r="L384" s="1">
        <f t="shared" si="5"/>
        <v>1.5483870967741935</v>
      </c>
    </row>
    <row r="385" spans="1:12" x14ac:dyDescent="0.25">
      <c r="A385" s="1">
        <v>2021</v>
      </c>
      <c r="B385" s="1">
        <v>14</v>
      </c>
      <c r="C385" s="1" t="s">
        <v>11</v>
      </c>
      <c r="D385" s="1">
        <v>47</v>
      </c>
      <c r="E385" s="1">
        <v>38</v>
      </c>
      <c r="F385" s="1">
        <v>13</v>
      </c>
      <c r="G385" s="1">
        <v>8</v>
      </c>
      <c r="H385" s="1">
        <v>17</v>
      </c>
      <c r="I385" s="1">
        <v>41</v>
      </c>
      <c r="J385" s="1">
        <v>45</v>
      </c>
      <c r="K385" s="1">
        <v>-4</v>
      </c>
      <c r="L385" s="1">
        <f t="shared" si="5"/>
        <v>1.1463414634146341</v>
      </c>
    </row>
    <row r="386" spans="1:12" x14ac:dyDescent="0.25">
      <c r="A386" s="1">
        <v>2021</v>
      </c>
      <c r="B386" s="1">
        <v>15</v>
      </c>
      <c r="C386" s="1" t="s">
        <v>43</v>
      </c>
      <c r="D386" s="1">
        <v>47</v>
      </c>
      <c r="E386" s="1">
        <v>38</v>
      </c>
      <c r="F386" s="1">
        <v>10</v>
      </c>
      <c r="G386" s="1">
        <v>17</v>
      </c>
      <c r="H386" s="1">
        <v>11</v>
      </c>
      <c r="I386" s="1">
        <v>34</v>
      </c>
      <c r="J386" s="1">
        <v>37</v>
      </c>
      <c r="K386" s="1">
        <v>-3</v>
      </c>
      <c r="L386" s="1">
        <f t="shared" si="5"/>
        <v>1.3823529411764706</v>
      </c>
    </row>
    <row r="387" spans="1:12" x14ac:dyDescent="0.25">
      <c r="A387" s="1">
        <v>2021</v>
      </c>
      <c r="B387" s="1">
        <v>16</v>
      </c>
      <c r="C387" s="1" t="s">
        <v>17</v>
      </c>
      <c r="D387" s="1">
        <v>46</v>
      </c>
      <c r="E387" s="1">
        <v>38</v>
      </c>
      <c r="F387" s="1">
        <v>11</v>
      </c>
      <c r="G387" s="1">
        <v>13</v>
      </c>
      <c r="H387" s="1">
        <v>14</v>
      </c>
      <c r="I387" s="1">
        <v>36</v>
      </c>
      <c r="J387" s="1">
        <v>44</v>
      </c>
      <c r="K387" s="1">
        <v>-8</v>
      </c>
      <c r="L387" s="1">
        <f t="shared" ref="L387:L450" si="6">D387/I387</f>
        <v>1.2777777777777777</v>
      </c>
    </row>
    <row r="388" spans="1:12" x14ac:dyDescent="0.25">
      <c r="A388" s="1">
        <v>2021</v>
      </c>
      <c r="B388" s="1">
        <v>17</v>
      </c>
      <c r="C388" s="1" t="s">
        <v>20</v>
      </c>
      <c r="D388" s="1">
        <v>43</v>
      </c>
      <c r="E388" s="1">
        <v>38</v>
      </c>
      <c r="F388" s="1">
        <v>12</v>
      </c>
      <c r="G388" s="1">
        <v>7</v>
      </c>
      <c r="H388" s="1">
        <v>19</v>
      </c>
      <c r="I388" s="1">
        <v>44</v>
      </c>
      <c r="J388" s="1">
        <v>51</v>
      </c>
      <c r="K388" s="1">
        <v>-7</v>
      </c>
      <c r="L388" s="1">
        <f t="shared" si="6"/>
        <v>0.97727272727272729</v>
      </c>
    </row>
    <row r="389" spans="1:12" x14ac:dyDescent="0.25">
      <c r="A389" s="1">
        <v>2021</v>
      </c>
      <c r="B389" s="1">
        <v>18</v>
      </c>
      <c r="C389" s="1" t="s">
        <v>23</v>
      </c>
      <c r="D389" s="1">
        <v>43</v>
      </c>
      <c r="E389" s="1">
        <v>38</v>
      </c>
      <c r="F389" s="1">
        <v>11</v>
      </c>
      <c r="G389" s="1">
        <v>10</v>
      </c>
      <c r="H389" s="1">
        <v>17</v>
      </c>
      <c r="I389" s="1">
        <v>42</v>
      </c>
      <c r="J389" s="1">
        <v>51</v>
      </c>
      <c r="K389" s="1">
        <v>-9</v>
      </c>
      <c r="L389" s="1">
        <f t="shared" si="6"/>
        <v>1.0238095238095237</v>
      </c>
    </row>
    <row r="390" spans="1:12" x14ac:dyDescent="0.25">
      <c r="A390" s="1">
        <v>2021</v>
      </c>
      <c r="B390" s="1">
        <v>19</v>
      </c>
      <c r="C390" s="1" t="s">
        <v>28</v>
      </c>
      <c r="D390" s="1">
        <v>38</v>
      </c>
      <c r="E390" s="1">
        <v>38</v>
      </c>
      <c r="F390" s="1">
        <v>9</v>
      </c>
      <c r="G390" s="1">
        <v>11</v>
      </c>
      <c r="H390" s="1">
        <v>18</v>
      </c>
      <c r="I390" s="1">
        <v>24</v>
      </c>
      <c r="J390" s="1">
        <v>37</v>
      </c>
      <c r="K390" s="1">
        <v>-13</v>
      </c>
      <c r="L390" s="1">
        <f t="shared" si="6"/>
        <v>1.5833333333333333</v>
      </c>
    </row>
    <row r="391" spans="1:12" x14ac:dyDescent="0.25">
      <c r="A391" s="1">
        <v>2021</v>
      </c>
      <c r="B391" s="1">
        <v>20</v>
      </c>
      <c r="C391" s="1" t="s">
        <v>39</v>
      </c>
      <c r="D391" s="1">
        <v>15</v>
      </c>
      <c r="E391" s="1">
        <v>38</v>
      </c>
      <c r="F391" s="1">
        <v>1</v>
      </c>
      <c r="G391" s="1">
        <v>12</v>
      </c>
      <c r="H391" s="1">
        <v>25</v>
      </c>
      <c r="I391" s="1">
        <v>27</v>
      </c>
      <c r="J391" s="1">
        <v>67</v>
      </c>
      <c r="K391" s="1">
        <v>-40</v>
      </c>
      <c r="L391" s="1">
        <f t="shared" si="6"/>
        <v>0.55555555555555558</v>
      </c>
    </row>
    <row r="392" spans="1:12" x14ac:dyDescent="0.25">
      <c r="A392" s="1">
        <v>2022</v>
      </c>
      <c r="B392" s="1">
        <v>1</v>
      </c>
      <c r="C392" s="1" t="s">
        <v>24</v>
      </c>
      <c r="D392" s="1">
        <v>81</v>
      </c>
      <c r="E392" s="1">
        <v>38</v>
      </c>
      <c r="F392" s="1">
        <v>23</v>
      </c>
      <c r="G392" s="1">
        <v>12</v>
      </c>
      <c r="H392" s="1">
        <v>3</v>
      </c>
      <c r="I392" s="1">
        <v>66</v>
      </c>
      <c r="J392" s="1">
        <v>27</v>
      </c>
      <c r="K392" s="1">
        <v>39</v>
      </c>
      <c r="L392" s="1">
        <f t="shared" si="6"/>
        <v>1.2272727272727273</v>
      </c>
    </row>
    <row r="393" spans="1:12" x14ac:dyDescent="0.25">
      <c r="A393" s="1">
        <v>2022</v>
      </c>
      <c r="B393" s="1">
        <v>2</v>
      </c>
      <c r="C393" s="1" t="s">
        <v>6</v>
      </c>
      <c r="D393" s="1">
        <v>73</v>
      </c>
      <c r="E393" s="1">
        <v>38</v>
      </c>
      <c r="F393" s="1">
        <v>20</v>
      </c>
      <c r="G393" s="1">
        <v>13</v>
      </c>
      <c r="H393" s="1">
        <v>5</v>
      </c>
      <c r="I393" s="1">
        <v>58</v>
      </c>
      <c r="J393" s="1">
        <v>31</v>
      </c>
      <c r="K393" s="1">
        <v>27</v>
      </c>
      <c r="L393" s="1">
        <f t="shared" si="6"/>
        <v>1.2586206896551724</v>
      </c>
    </row>
    <row r="394" spans="1:12" x14ac:dyDescent="0.25">
      <c r="A394" s="1">
        <v>2022</v>
      </c>
      <c r="B394" s="1">
        <v>3</v>
      </c>
      <c r="C394" s="1" t="s">
        <v>18</v>
      </c>
      <c r="D394" s="1">
        <v>70</v>
      </c>
      <c r="E394" s="1">
        <v>38</v>
      </c>
      <c r="F394" s="1">
        <v>21</v>
      </c>
      <c r="G394" s="1">
        <v>7</v>
      </c>
      <c r="H394" s="1">
        <v>10</v>
      </c>
      <c r="I394" s="1">
        <v>63</v>
      </c>
      <c r="J394" s="1">
        <v>41</v>
      </c>
      <c r="K394" s="1">
        <v>22</v>
      </c>
      <c r="L394" s="1">
        <f t="shared" si="6"/>
        <v>1.1111111111111112</v>
      </c>
    </row>
    <row r="395" spans="1:12" x14ac:dyDescent="0.25">
      <c r="A395" s="1">
        <v>2022</v>
      </c>
      <c r="B395" s="1">
        <v>4</v>
      </c>
      <c r="C395" s="1" t="s">
        <v>14</v>
      </c>
      <c r="D395" s="1">
        <v>65</v>
      </c>
      <c r="E395" s="1">
        <v>38</v>
      </c>
      <c r="F395" s="1">
        <v>18</v>
      </c>
      <c r="G395" s="1">
        <v>11</v>
      </c>
      <c r="H395" s="1">
        <v>9</v>
      </c>
      <c r="I395" s="1">
        <v>44</v>
      </c>
      <c r="J395" s="1">
        <v>36</v>
      </c>
      <c r="K395" s="1">
        <v>8</v>
      </c>
      <c r="L395" s="1">
        <f t="shared" si="6"/>
        <v>1.4772727272727273</v>
      </c>
    </row>
    <row r="396" spans="1:12" x14ac:dyDescent="0.25">
      <c r="A396" s="1">
        <v>2022</v>
      </c>
      <c r="B396" s="1">
        <v>5</v>
      </c>
      <c r="C396" s="1" t="s">
        <v>7</v>
      </c>
      <c r="D396" s="1">
        <v>62</v>
      </c>
      <c r="E396" s="1">
        <v>38</v>
      </c>
      <c r="F396" s="1">
        <v>18</v>
      </c>
      <c r="G396" s="1">
        <v>8</v>
      </c>
      <c r="H396" s="1">
        <v>12</v>
      </c>
      <c r="I396" s="1">
        <v>60</v>
      </c>
      <c r="J396" s="1">
        <v>39</v>
      </c>
      <c r="K396" s="1">
        <v>21</v>
      </c>
      <c r="L396" s="1">
        <f t="shared" si="6"/>
        <v>1.0333333333333334</v>
      </c>
    </row>
    <row r="397" spans="1:12" x14ac:dyDescent="0.25">
      <c r="A397" s="1">
        <v>2022</v>
      </c>
      <c r="B397" s="1">
        <v>6</v>
      </c>
      <c r="C397" s="1" t="s">
        <v>11</v>
      </c>
      <c r="D397" s="1">
        <v>58</v>
      </c>
      <c r="E397" s="1">
        <v>38</v>
      </c>
      <c r="F397" s="1">
        <v>16</v>
      </c>
      <c r="G397" s="1">
        <v>10</v>
      </c>
      <c r="H397" s="1">
        <v>12</v>
      </c>
      <c r="I397" s="1">
        <v>48</v>
      </c>
      <c r="J397" s="1">
        <v>48</v>
      </c>
      <c r="K397" s="1">
        <v>0</v>
      </c>
      <c r="L397" s="1">
        <f t="shared" si="6"/>
        <v>1.2083333333333333</v>
      </c>
    </row>
    <row r="398" spans="1:12" x14ac:dyDescent="0.25">
      <c r="A398" s="1">
        <v>2022</v>
      </c>
      <c r="B398" s="1">
        <v>7</v>
      </c>
      <c r="C398" s="1" t="s">
        <v>5</v>
      </c>
      <c r="D398" s="1">
        <v>58</v>
      </c>
      <c r="E398" s="1">
        <v>38</v>
      </c>
      <c r="F398" s="1">
        <v>15</v>
      </c>
      <c r="G398" s="1">
        <v>13</v>
      </c>
      <c r="H398" s="1">
        <v>10</v>
      </c>
      <c r="I398" s="1">
        <v>45</v>
      </c>
      <c r="J398" s="1">
        <v>37</v>
      </c>
      <c r="K398" s="1">
        <v>8</v>
      </c>
      <c r="L398" s="1">
        <f t="shared" si="6"/>
        <v>1.288888888888889</v>
      </c>
    </row>
    <row r="399" spans="1:12" x14ac:dyDescent="0.25">
      <c r="A399" s="1">
        <v>2022</v>
      </c>
      <c r="B399" s="1">
        <v>8</v>
      </c>
      <c r="C399" s="1" t="s">
        <v>22</v>
      </c>
      <c r="D399" s="1">
        <v>55</v>
      </c>
      <c r="E399" s="1">
        <v>38</v>
      </c>
      <c r="F399" s="1">
        <v>15</v>
      </c>
      <c r="G399" s="1">
        <v>10</v>
      </c>
      <c r="H399" s="1">
        <v>13</v>
      </c>
      <c r="I399" s="1">
        <v>46</v>
      </c>
      <c r="J399" s="1">
        <v>39</v>
      </c>
      <c r="K399" s="1">
        <v>7</v>
      </c>
      <c r="L399" s="1">
        <f t="shared" si="6"/>
        <v>1.1956521739130435</v>
      </c>
    </row>
    <row r="400" spans="1:12" x14ac:dyDescent="0.25">
      <c r="A400" s="1">
        <v>2022</v>
      </c>
      <c r="B400" s="1">
        <v>9</v>
      </c>
      <c r="C400" s="1" t="s">
        <v>2</v>
      </c>
      <c r="D400" s="1">
        <v>54</v>
      </c>
      <c r="E400" s="1">
        <v>38</v>
      </c>
      <c r="F400" s="1">
        <v>13</v>
      </c>
      <c r="G400" s="1">
        <v>15</v>
      </c>
      <c r="H400" s="1">
        <v>10</v>
      </c>
      <c r="I400" s="1">
        <v>55</v>
      </c>
      <c r="J400" s="1">
        <v>42</v>
      </c>
      <c r="K400" s="1">
        <v>13</v>
      </c>
      <c r="L400" s="1">
        <f t="shared" si="6"/>
        <v>0.98181818181818181</v>
      </c>
    </row>
    <row r="401" spans="1:12" x14ac:dyDescent="0.25">
      <c r="A401" s="1">
        <v>2022</v>
      </c>
      <c r="B401" s="1">
        <v>10</v>
      </c>
      <c r="C401" s="1" t="s">
        <v>38</v>
      </c>
      <c r="D401" s="1">
        <v>53</v>
      </c>
      <c r="E401" s="1">
        <v>38</v>
      </c>
      <c r="F401" s="1">
        <v>15</v>
      </c>
      <c r="G401" s="1">
        <v>8</v>
      </c>
      <c r="H401" s="1">
        <v>15</v>
      </c>
      <c r="I401" s="1">
        <v>40</v>
      </c>
      <c r="J401" s="1">
        <v>40</v>
      </c>
      <c r="K401" s="1">
        <v>0</v>
      </c>
      <c r="L401" s="1">
        <f t="shared" si="6"/>
        <v>1.325</v>
      </c>
    </row>
    <row r="402" spans="1:12" x14ac:dyDescent="0.25">
      <c r="A402" s="1">
        <v>2022</v>
      </c>
      <c r="B402" s="1">
        <v>11</v>
      </c>
      <c r="C402" s="1" t="s">
        <v>25</v>
      </c>
      <c r="D402" s="1">
        <v>53</v>
      </c>
      <c r="E402" s="1">
        <v>38</v>
      </c>
      <c r="F402" s="1">
        <v>15</v>
      </c>
      <c r="G402" s="1">
        <v>8</v>
      </c>
      <c r="H402" s="1">
        <v>15</v>
      </c>
      <c r="I402" s="1">
        <v>41</v>
      </c>
      <c r="J402" s="1">
        <v>43</v>
      </c>
      <c r="K402" s="1">
        <v>-2</v>
      </c>
      <c r="L402" s="1">
        <f t="shared" si="6"/>
        <v>1.2926829268292683</v>
      </c>
    </row>
    <row r="403" spans="1:12" x14ac:dyDescent="0.25">
      <c r="A403" s="1">
        <v>2022</v>
      </c>
      <c r="B403" s="1">
        <v>12</v>
      </c>
      <c r="C403" s="1" t="s">
        <v>1</v>
      </c>
      <c r="D403" s="1">
        <v>47</v>
      </c>
      <c r="E403" s="1">
        <v>38</v>
      </c>
      <c r="F403" s="1">
        <v>12</v>
      </c>
      <c r="G403" s="1">
        <v>11</v>
      </c>
      <c r="H403" s="1">
        <v>15</v>
      </c>
      <c r="I403" s="1">
        <v>44</v>
      </c>
      <c r="J403" s="1">
        <v>41</v>
      </c>
      <c r="K403" s="1">
        <v>3</v>
      </c>
      <c r="L403" s="1">
        <f t="shared" si="6"/>
        <v>1.0681818181818181</v>
      </c>
    </row>
    <row r="404" spans="1:12" x14ac:dyDescent="0.25">
      <c r="A404" s="1">
        <v>2022</v>
      </c>
      <c r="B404" s="1">
        <v>13</v>
      </c>
      <c r="C404" s="1" t="s">
        <v>8</v>
      </c>
      <c r="D404" s="1">
        <v>46</v>
      </c>
      <c r="E404" s="1">
        <v>38</v>
      </c>
      <c r="F404" s="1">
        <v>11</v>
      </c>
      <c r="G404" s="1">
        <v>13</v>
      </c>
      <c r="H404" s="1">
        <v>14</v>
      </c>
      <c r="I404" s="1">
        <v>40</v>
      </c>
      <c r="J404" s="1">
        <v>53</v>
      </c>
      <c r="K404" s="1">
        <v>-13</v>
      </c>
      <c r="L404" s="1">
        <f t="shared" si="6"/>
        <v>1.1499999999999999</v>
      </c>
    </row>
    <row r="405" spans="1:12" x14ac:dyDescent="0.25">
      <c r="A405" s="1">
        <v>2022</v>
      </c>
      <c r="B405" s="1">
        <v>14</v>
      </c>
      <c r="C405" s="1" t="s">
        <v>42</v>
      </c>
      <c r="D405" s="1">
        <v>44</v>
      </c>
      <c r="E405" s="1">
        <v>38</v>
      </c>
      <c r="F405" s="1">
        <v>11</v>
      </c>
      <c r="G405" s="1">
        <v>11</v>
      </c>
      <c r="H405" s="1">
        <v>16</v>
      </c>
      <c r="I405" s="1">
        <v>49</v>
      </c>
      <c r="J405" s="1">
        <v>59</v>
      </c>
      <c r="K405" s="1">
        <v>-10</v>
      </c>
      <c r="L405" s="1">
        <f t="shared" si="6"/>
        <v>0.89795918367346939</v>
      </c>
    </row>
    <row r="406" spans="1:12" x14ac:dyDescent="0.25">
      <c r="A406" s="1">
        <v>2022</v>
      </c>
      <c r="B406" s="1">
        <v>15</v>
      </c>
      <c r="C406" s="1" t="s">
        <v>4</v>
      </c>
      <c r="D406" s="1">
        <v>42</v>
      </c>
      <c r="E406" s="1">
        <v>38</v>
      </c>
      <c r="F406" s="1">
        <v>12</v>
      </c>
      <c r="G406" s="1">
        <v>6</v>
      </c>
      <c r="H406" s="1">
        <v>20</v>
      </c>
      <c r="I406" s="1">
        <v>39</v>
      </c>
      <c r="J406" s="1">
        <v>60</v>
      </c>
      <c r="K406" s="1">
        <v>-21</v>
      </c>
      <c r="L406" s="1">
        <f t="shared" si="6"/>
        <v>1.0769230769230769</v>
      </c>
    </row>
    <row r="407" spans="1:12" x14ac:dyDescent="0.25">
      <c r="A407" s="1">
        <v>2022</v>
      </c>
      <c r="B407" s="1">
        <v>16</v>
      </c>
      <c r="C407" s="1" t="s">
        <v>43</v>
      </c>
      <c r="D407" s="1">
        <v>41</v>
      </c>
      <c r="E407" s="1">
        <v>38</v>
      </c>
      <c r="F407" s="1">
        <v>10</v>
      </c>
      <c r="G407" s="1">
        <v>11</v>
      </c>
      <c r="H407" s="1">
        <v>17</v>
      </c>
      <c r="I407" s="1">
        <v>31</v>
      </c>
      <c r="J407" s="1">
        <v>42</v>
      </c>
      <c r="K407" s="1">
        <v>-11</v>
      </c>
      <c r="L407" s="1">
        <f t="shared" si="6"/>
        <v>1.3225806451612903</v>
      </c>
    </row>
    <row r="408" spans="1:12" x14ac:dyDescent="0.25">
      <c r="A408" s="1">
        <v>2022</v>
      </c>
      <c r="B408" s="1">
        <v>17</v>
      </c>
      <c r="C408" s="1" t="s">
        <v>36</v>
      </c>
      <c r="D408" s="1">
        <v>37</v>
      </c>
      <c r="E408" s="1">
        <v>38</v>
      </c>
      <c r="F408" s="1">
        <v>7</v>
      </c>
      <c r="G408" s="1">
        <v>16</v>
      </c>
      <c r="H408" s="1">
        <v>15</v>
      </c>
      <c r="I408" s="1">
        <v>34</v>
      </c>
      <c r="J408" s="1">
        <v>41</v>
      </c>
      <c r="K408" s="1">
        <v>-7</v>
      </c>
      <c r="L408" s="1">
        <f t="shared" si="6"/>
        <v>1.088235294117647</v>
      </c>
    </row>
    <row r="409" spans="1:12" x14ac:dyDescent="0.25">
      <c r="A409" s="1">
        <v>2022</v>
      </c>
      <c r="B409" s="1">
        <v>18</v>
      </c>
      <c r="C409" s="1" t="s">
        <v>37</v>
      </c>
      <c r="D409" s="1">
        <v>36</v>
      </c>
      <c r="E409" s="1">
        <v>38</v>
      </c>
      <c r="F409" s="1">
        <v>8</v>
      </c>
      <c r="G409" s="1">
        <v>12</v>
      </c>
      <c r="H409" s="1">
        <v>18</v>
      </c>
      <c r="I409" s="1">
        <v>39</v>
      </c>
      <c r="J409" s="1">
        <v>57</v>
      </c>
      <c r="K409" s="1">
        <v>-18</v>
      </c>
      <c r="L409" s="1">
        <f t="shared" si="6"/>
        <v>0.92307692307692313</v>
      </c>
    </row>
    <row r="410" spans="1:12" x14ac:dyDescent="0.25">
      <c r="A410" s="1">
        <v>2022</v>
      </c>
      <c r="B410" s="1">
        <v>19</v>
      </c>
      <c r="C410" s="1" t="s">
        <v>33</v>
      </c>
      <c r="D410" s="1">
        <v>35</v>
      </c>
      <c r="E410" s="1">
        <v>38</v>
      </c>
      <c r="F410" s="1">
        <v>9</v>
      </c>
      <c r="G410" s="1">
        <v>8</v>
      </c>
      <c r="H410" s="1">
        <v>21</v>
      </c>
      <c r="I410" s="1">
        <v>34</v>
      </c>
      <c r="J410" s="1">
        <v>60</v>
      </c>
      <c r="K410" s="1">
        <v>-26</v>
      </c>
      <c r="L410" s="1">
        <f t="shared" si="6"/>
        <v>1.0294117647058822</v>
      </c>
    </row>
    <row r="411" spans="1:12" x14ac:dyDescent="0.25">
      <c r="A411" s="1">
        <v>2022</v>
      </c>
      <c r="B411" s="1">
        <v>20</v>
      </c>
      <c r="C411" s="1" t="s">
        <v>17</v>
      </c>
      <c r="D411" s="1">
        <v>22</v>
      </c>
      <c r="E411" s="1">
        <v>38</v>
      </c>
      <c r="F411" s="1">
        <v>3</v>
      </c>
      <c r="G411" s="1">
        <v>13</v>
      </c>
      <c r="H411" s="1">
        <v>22</v>
      </c>
      <c r="I411" s="1">
        <v>29</v>
      </c>
      <c r="J411" s="1">
        <v>69</v>
      </c>
      <c r="K411" s="1">
        <v>-40</v>
      </c>
      <c r="L411" s="1">
        <f t="shared" si="6"/>
        <v>0.75862068965517238</v>
      </c>
    </row>
    <row r="412" spans="1:12" x14ac:dyDescent="0.25">
      <c r="A412" s="1">
        <v>2023</v>
      </c>
      <c r="B412" s="1">
        <v>1</v>
      </c>
      <c r="C412" s="1" t="s">
        <v>24</v>
      </c>
      <c r="D412" s="1">
        <v>70</v>
      </c>
      <c r="E412" s="1">
        <v>38</v>
      </c>
      <c r="F412" s="1">
        <v>20</v>
      </c>
      <c r="G412" s="1">
        <v>10</v>
      </c>
      <c r="H412" s="1">
        <v>8</v>
      </c>
      <c r="I412" s="1">
        <v>64</v>
      </c>
      <c r="J412" s="1">
        <v>33</v>
      </c>
      <c r="K412" s="1">
        <v>31</v>
      </c>
      <c r="L412" s="1">
        <f t="shared" si="6"/>
        <v>1.09375</v>
      </c>
    </row>
    <row r="413" spans="1:12" x14ac:dyDescent="0.25">
      <c r="A413" s="1">
        <v>2023</v>
      </c>
      <c r="B413" s="1">
        <v>2</v>
      </c>
      <c r="C413" s="1" t="s">
        <v>20</v>
      </c>
      <c r="D413" s="1">
        <v>68</v>
      </c>
      <c r="E413" s="1">
        <v>38</v>
      </c>
      <c r="F413" s="1">
        <v>21</v>
      </c>
      <c r="G413" s="1">
        <v>5</v>
      </c>
      <c r="H413" s="1">
        <v>12</v>
      </c>
      <c r="I413" s="1">
        <v>63</v>
      </c>
      <c r="J413" s="1">
        <v>56</v>
      </c>
      <c r="K413" s="1">
        <v>7</v>
      </c>
      <c r="L413" s="1">
        <f t="shared" si="6"/>
        <v>1.0793650793650793</v>
      </c>
    </row>
    <row r="414" spans="1:12" x14ac:dyDescent="0.25">
      <c r="A414" s="1">
        <v>2023</v>
      </c>
      <c r="B414" s="1">
        <v>3</v>
      </c>
      <c r="C414" s="1" t="s">
        <v>5</v>
      </c>
      <c r="D414" s="1">
        <v>66</v>
      </c>
      <c r="E414" s="1">
        <v>38</v>
      </c>
      <c r="F414" s="1">
        <v>19</v>
      </c>
      <c r="G414" s="1">
        <v>9</v>
      </c>
      <c r="H414" s="1">
        <v>10</v>
      </c>
      <c r="I414" s="1">
        <v>52</v>
      </c>
      <c r="J414" s="1">
        <v>32</v>
      </c>
      <c r="K414" s="1">
        <v>20</v>
      </c>
      <c r="L414" s="1">
        <f t="shared" si="6"/>
        <v>1.2692307692307692</v>
      </c>
    </row>
    <row r="415" spans="1:12" x14ac:dyDescent="0.25">
      <c r="A415" s="1">
        <v>2023</v>
      </c>
      <c r="B415" s="1">
        <v>4</v>
      </c>
      <c r="C415" s="1" t="s">
        <v>7</v>
      </c>
      <c r="D415" s="1">
        <v>66</v>
      </c>
      <c r="E415" s="1">
        <v>38</v>
      </c>
      <c r="F415" s="1">
        <v>19</v>
      </c>
      <c r="G415" s="1">
        <v>9</v>
      </c>
      <c r="H415" s="1">
        <v>10</v>
      </c>
      <c r="I415" s="1">
        <v>56</v>
      </c>
      <c r="J415" s="1">
        <v>42</v>
      </c>
      <c r="K415" s="1">
        <v>14</v>
      </c>
      <c r="L415" s="1">
        <f t="shared" si="6"/>
        <v>1.1785714285714286</v>
      </c>
    </row>
    <row r="416" spans="1:12" x14ac:dyDescent="0.25">
      <c r="A416" s="1">
        <v>2023</v>
      </c>
      <c r="B416" s="1">
        <v>5</v>
      </c>
      <c r="C416" s="1" t="s">
        <v>25</v>
      </c>
      <c r="D416" s="1">
        <v>64</v>
      </c>
      <c r="E416" s="1">
        <v>38</v>
      </c>
      <c r="F416" s="1">
        <v>18</v>
      </c>
      <c r="G416" s="1">
        <v>10</v>
      </c>
      <c r="H416" s="1">
        <v>10</v>
      </c>
      <c r="I416" s="1">
        <v>58</v>
      </c>
      <c r="J416" s="1">
        <v>37</v>
      </c>
      <c r="K416" s="1">
        <v>21</v>
      </c>
      <c r="L416" s="1">
        <f t="shared" si="6"/>
        <v>1.103448275862069</v>
      </c>
    </row>
    <row r="417" spans="1:12" x14ac:dyDescent="0.25">
      <c r="A417" s="1">
        <v>2023</v>
      </c>
      <c r="B417" s="1">
        <v>6</v>
      </c>
      <c r="C417" s="1" t="s">
        <v>42</v>
      </c>
      <c r="D417" s="1">
        <v>62</v>
      </c>
      <c r="E417" s="1">
        <v>38</v>
      </c>
      <c r="F417" s="1">
        <v>17</v>
      </c>
      <c r="G417" s="1">
        <v>11</v>
      </c>
      <c r="H417" s="1">
        <v>10</v>
      </c>
      <c r="I417" s="1">
        <v>49</v>
      </c>
      <c r="J417" s="1">
        <v>35</v>
      </c>
      <c r="K417" s="1">
        <v>14</v>
      </c>
      <c r="L417" s="1">
        <f t="shared" si="6"/>
        <v>1.2653061224489797</v>
      </c>
    </row>
    <row r="418" spans="1:12" x14ac:dyDescent="0.25">
      <c r="A418" s="1">
        <v>2023</v>
      </c>
      <c r="B418" s="1">
        <v>7</v>
      </c>
      <c r="C418" s="1" t="s">
        <v>18</v>
      </c>
      <c r="D418" s="1">
        <v>56</v>
      </c>
      <c r="E418" s="1">
        <v>38</v>
      </c>
      <c r="F418" s="1">
        <v>16</v>
      </c>
      <c r="G418" s="1">
        <v>8</v>
      </c>
      <c r="H418" s="1">
        <v>14</v>
      </c>
      <c r="I418" s="1">
        <v>51</v>
      </c>
      <c r="J418" s="1">
        <v>47</v>
      </c>
      <c r="K418" s="1">
        <v>4</v>
      </c>
      <c r="L418" s="1">
        <f t="shared" si="6"/>
        <v>1.0980392156862746</v>
      </c>
    </row>
    <row r="419" spans="1:12" x14ac:dyDescent="0.25">
      <c r="A419" s="1">
        <v>2023</v>
      </c>
      <c r="B419" s="1">
        <v>8</v>
      </c>
      <c r="C419" s="1" t="s">
        <v>11</v>
      </c>
      <c r="D419" s="1">
        <v>56</v>
      </c>
      <c r="E419" s="1">
        <v>38</v>
      </c>
      <c r="F419" s="1">
        <v>14</v>
      </c>
      <c r="G419" s="1">
        <v>14</v>
      </c>
      <c r="H419" s="1">
        <v>10</v>
      </c>
      <c r="I419" s="1">
        <v>51</v>
      </c>
      <c r="J419" s="1">
        <v>43</v>
      </c>
      <c r="K419" s="1">
        <v>8</v>
      </c>
      <c r="L419" s="1">
        <f t="shared" si="6"/>
        <v>1.0980392156862746</v>
      </c>
    </row>
    <row r="420" spans="1:12" x14ac:dyDescent="0.25">
      <c r="A420" s="1">
        <v>2023</v>
      </c>
      <c r="B420" s="1">
        <v>9</v>
      </c>
      <c r="C420" s="1" t="s">
        <v>6</v>
      </c>
      <c r="D420" s="1">
        <v>55</v>
      </c>
      <c r="E420" s="1">
        <v>38</v>
      </c>
      <c r="F420" s="1">
        <v>15</v>
      </c>
      <c r="G420" s="1">
        <v>10</v>
      </c>
      <c r="H420" s="1">
        <v>13</v>
      </c>
      <c r="I420" s="1">
        <v>46</v>
      </c>
      <c r="J420" s="1">
        <v>45</v>
      </c>
      <c r="K420" s="1">
        <v>1</v>
      </c>
      <c r="L420" s="1">
        <f t="shared" si="6"/>
        <v>1.1956521739130435</v>
      </c>
    </row>
    <row r="421" spans="1:12" x14ac:dyDescent="0.25">
      <c r="A421" s="1">
        <v>2023</v>
      </c>
      <c r="B421" s="1">
        <v>10</v>
      </c>
      <c r="C421" s="1" t="s">
        <v>22</v>
      </c>
      <c r="D421" s="1">
        <v>54</v>
      </c>
      <c r="E421" s="1">
        <v>38</v>
      </c>
      <c r="F421" s="1">
        <v>15</v>
      </c>
      <c r="G421" s="1">
        <v>9</v>
      </c>
      <c r="H421" s="1">
        <v>14</v>
      </c>
      <c r="I421" s="1">
        <v>45</v>
      </c>
      <c r="J421" s="1">
        <v>44</v>
      </c>
      <c r="K421" s="1">
        <v>1</v>
      </c>
      <c r="L421" s="1">
        <f t="shared" si="6"/>
        <v>1.2</v>
      </c>
    </row>
    <row r="422" spans="1:12" x14ac:dyDescent="0.25">
      <c r="A422" s="1">
        <v>2023</v>
      </c>
      <c r="B422" s="1">
        <v>11</v>
      </c>
      <c r="C422" s="1" t="s">
        <v>2</v>
      </c>
      <c r="D422" s="1">
        <v>53</v>
      </c>
      <c r="E422" s="1">
        <v>38</v>
      </c>
      <c r="F422" s="1">
        <v>14</v>
      </c>
      <c r="G422" s="1">
        <v>11</v>
      </c>
      <c r="H422" s="1">
        <v>13</v>
      </c>
      <c r="I422" s="1">
        <v>40</v>
      </c>
      <c r="J422" s="1">
        <v>38</v>
      </c>
      <c r="K422" s="1">
        <v>2</v>
      </c>
      <c r="L422" s="1">
        <f t="shared" si="6"/>
        <v>1.325</v>
      </c>
    </row>
    <row r="423" spans="1:12" x14ac:dyDescent="0.25">
      <c r="A423" s="1">
        <v>2023</v>
      </c>
      <c r="B423" s="1">
        <v>12</v>
      </c>
      <c r="C423" s="1" t="s">
        <v>43</v>
      </c>
      <c r="D423" s="1">
        <v>51</v>
      </c>
      <c r="E423" s="1">
        <v>38</v>
      </c>
      <c r="F423" s="1">
        <v>14</v>
      </c>
      <c r="G423" s="1">
        <v>9</v>
      </c>
      <c r="H423" s="1">
        <v>15</v>
      </c>
      <c r="I423" s="1">
        <v>40</v>
      </c>
      <c r="J423" s="1">
        <v>39</v>
      </c>
      <c r="K423" s="1">
        <v>1</v>
      </c>
      <c r="L423" s="1">
        <f t="shared" si="6"/>
        <v>1.2749999999999999</v>
      </c>
    </row>
    <row r="424" spans="1:12" x14ac:dyDescent="0.25">
      <c r="A424" s="1">
        <v>2023</v>
      </c>
      <c r="B424" s="1">
        <v>13</v>
      </c>
      <c r="C424" s="1" t="s">
        <v>14</v>
      </c>
      <c r="D424" s="1">
        <v>50</v>
      </c>
      <c r="E424" s="1">
        <v>38</v>
      </c>
      <c r="F424" s="1">
        <v>12</v>
      </c>
      <c r="G424" s="1">
        <v>14</v>
      </c>
      <c r="H424" s="1">
        <v>12</v>
      </c>
      <c r="I424" s="1">
        <v>47</v>
      </c>
      <c r="J424" s="1">
        <v>48</v>
      </c>
      <c r="K424" s="1">
        <v>-1</v>
      </c>
      <c r="L424" s="1">
        <f t="shared" si="6"/>
        <v>1.0638297872340425</v>
      </c>
    </row>
    <row r="425" spans="1:12" x14ac:dyDescent="0.25">
      <c r="A425" s="1">
        <v>2023</v>
      </c>
      <c r="B425" s="1">
        <v>14</v>
      </c>
      <c r="C425" s="1" t="s">
        <v>0</v>
      </c>
      <c r="D425" s="1">
        <v>47</v>
      </c>
      <c r="E425" s="1">
        <v>38</v>
      </c>
      <c r="F425" s="1">
        <v>11</v>
      </c>
      <c r="G425" s="1">
        <v>14</v>
      </c>
      <c r="H425" s="1">
        <v>13</v>
      </c>
      <c r="I425" s="1">
        <v>35</v>
      </c>
      <c r="J425" s="1">
        <v>32</v>
      </c>
      <c r="K425" s="1">
        <v>3</v>
      </c>
      <c r="L425" s="1">
        <f t="shared" si="6"/>
        <v>1.3428571428571427</v>
      </c>
    </row>
    <row r="426" spans="1:12" x14ac:dyDescent="0.25">
      <c r="A426" s="1">
        <v>2023</v>
      </c>
      <c r="B426" s="1">
        <v>15</v>
      </c>
      <c r="C426" s="1" t="s">
        <v>16</v>
      </c>
      <c r="D426" s="1">
        <v>45</v>
      </c>
      <c r="E426" s="1">
        <v>38</v>
      </c>
      <c r="F426" s="1">
        <v>12</v>
      </c>
      <c r="G426" s="1">
        <v>9</v>
      </c>
      <c r="H426" s="1">
        <v>17</v>
      </c>
      <c r="I426" s="1">
        <v>41</v>
      </c>
      <c r="J426" s="1">
        <v>51</v>
      </c>
      <c r="K426" s="1">
        <v>-10</v>
      </c>
      <c r="L426" s="1">
        <f t="shared" si="6"/>
        <v>1.0975609756097562</v>
      </c>
    </row>
    <row r="427" spans="1:12" x14ac:dyDescent="0.25">
      <c r="A427" s="1">
        <v>2023</v>
      </c>
      <c r="B427" s="1">
        <v>16</v>
      </c>
      <c r="C427" s="1" t="s">
        <v>23</v>
      </c>
      <c r="D427" s="1">
        <v>44</v>
      </c>
      <c r="E427" s="1">
        <v>38</v>
      </c>
      <c r="F427" s="1">
        <v>12</v>
      </c>
      <c r="G427" s="1">
        <v>8</v>
      </c>
      <c r="H427" s="1">
        <v>18</v>
      </c>
      <c r="I427" s="1">
        <v>50</v>
      </c>
      <c r="J427" s="1">
        <v>53</v>
      </c>
      <c r="K427" s="1">
        <v>-3</v>
      </c>
      <c r="L427" s="1">
        <f t="shared" si="6"/>
        <v>0.88</v>
      </c>
    </row>
    <row r="428" spans="1:12" x14ac:dyDescent="0.25">
      <c r="A428" s="1">
        <v>2023</v>
      </c>
      <c r="B428" s="1">
        <v>17</v>
      </c>
      <c r="C428" s="1" t="s">
        <v>1</v>
      </c>
      <c r="D428" s="1">
        <v>43</v>
      </c>
      <c r="E428" s="1">
        <v>38</v>
      </c>
      <c r="F428" s="1">
        <v>11</v>
      </c>
      <c r="G428" s="1">
        <v>10</v>
      </c>
      <c r="H428" s="1">
        <v>17</v>
      </c>
      <c r="I428" s="1">
        <v>39</v>
      </c>
      <c r="J428" s="1">
        <v>64</v>
      </c>
      <c r="K428" s="1">
        <v>-25</v>
      </c>
      <c r="L428" s="1">
        <f t="shared" si="6"/>
        <v>1.1025641025641026</v>
      </c>
    </row>
    <row r="429" spans="1:12" x14ac:dyDescent="0.25">
      <c r="A429" s="1">
        <v>2023</v>
      </c>
      <c r="B429" s="1">
        <v>18</v>
      </c>
      <c r="C429" s="1" t="s">
        <v>8</v>
      </c>
      <c r="D429" s="1">
        <v>38</v>
      </c>
      <c r="E429" s="1">
        <v>38</v>
      </c>
      <c r="F429" s="1">
        <v>9</v>
      </c>
      <c r="G429" s="1">
        <v>11</v>
      </c>
      <c r="H429" s="1">
        <v>18</v>
      </c>
      <c r="I429" s="1">
        <v>36</v>
      </c>
      <c r="J429" s="1">
        <v>53</v>
      </c>
      <c r="K429" s="1">
        <v>-17</v>
      </c>
      <c r="L429" s="1">
        <f t="shared" si="6"/>
        <v>1.0555555555555556</v>
      </c>
    </row>
    <row r="430" spans="1:12" x14ac:dyDescent="0.25">
      <c r="A430" s="1">
        <v>2023</v>
      </c>
      <c r="B430" s="1">
        <v>19</v>
      </c>
      <c r="C430" s="1" t="s">
        <v>4</v>
      </c>
      <c r="D430" s="1">
        <v>30</v>
      </c>
      <c r="E430" s="1">
        <v>38</v>
      </c>
      <c r="F430" s="1">
        <v>8</v>
      </c>
      <c r="G430" s="1">
        <v>6</v>
      </c>
      <c r="H430" s="1">
        <v>24</v>
      </c>
      <c r="I430" s="1">
        <v>41</v>
      </c>
      <c r="J430" s="1">
        <v>73</v>
      </c>
      <c r="K430" s="1">
        <v>-32</v>
      </c>
      <c r="L430" s="1">
        <f t="shared" si="6"/>
        <v>0.73170731707317072</v>
      </c>
    </row>
    <row r="431" spans="1:12" x14ac:dyDescent="0.25">
      <c r="A431" s="1">
        <v>2023</v>
      </c>
      <c r="B431" s="1">
        <v>20</v>
      </c>
      <c r="C431" s="1" t="s">
        <v>38</v>
      </c>
      <c r="D431" s="1">
        <v>24</v>
      </c>
      <c r="E431" s="1">
        <v>38</v>
      </c>
      <c r="F431" s="1">
        <v>5</v>
      </c>
      <c r="G431" s="1">
        <v>9</v>
      </c>
      <c r="H431" s="1">
        <v>24</v>
      </c>
      <c r="I431" s="1">
        <v>42</v>
      </c>
      <c r="J431" s="1">
        <v>81</v>
      </c>
      <c r="K431" s="1">
        <v>-39</v>
      </c>
      <c r="L431" s="1">
        <f t="shared" si="6"/>
        <v>0.5714285714285714</v>
      </c>
    </row>
    <row r="432" spans="1:12" x14ac:dyDescent="0.25">
      <c r="A432" s="1">
        <v>2024</v>
      </c>
      <c r="B432" s="1">
        <v>1</v>
      </c>
      <c r="C432" s="1" t="s">
        <v>25</v>
      </c>
      <c r="D432" s="1">
        <v>79</v>
      </c>
      <c r="E432" s="1">
        <v>38</v>
      </c>
      <c r="F432" s="1">
        <v>23</v>
      </c>
      <c r="G432" s="1">
        <v>10</v>
      </c>
      <c r="H432" s="1">
        <v>5</v>
      </c>
      <c r="I432" s="1">
        <v>59</v>
      </c>
      <c r="J432" s="1">
        <v>29</v>
      </c>
      <c r="K432" s="1">
        <v>30</v>
      </c>
      <c r="L432" s="1">
        <f t="shared" si="6"/>
        <v>1.3389830508474576</v>
      </c>
    </row>
    <row r="433" spans="1:12" x14ac:dyDescent="0.25">
      <c r="A433" s="1">
        <v>2024</v>
      </c>
      <c r="B433" s="1">
        <v>2</v>
      </c>
      <c r="C433" s="1" t="s">
        <v>24</v>
      </c>
      <c r="D433" s="1">
        <v>73</v>
      </c>
      <c r="E433" s="1">
        <v>38</v>
      </c>
      <c r="F433" s="1">
        <v>22</v>
      </c>
      <c r="G433" s="1">
        <v>7</v>
      </c>
      <c r="H433" s="1">
        <v>9</v>
      </c>
      <c r="I433" s="1">
        <v>60</v>
      </c>
      <c r="J433" s="1">
        <v>33</v>
      </c>
      <c r="K433" s="1">
        <v>27</v>
      </c>
      <c r="L433" s="1">
        <f t="shared" si="6"/>
        <v>1.2166666666666666</v>
      </c>
    </row>
    <row r="434" spans="1:12" x14ac:dyDescent="0.25">
      <c r="A434" s="1">
        <v>2024</v>
      </c>
      <c r="B434" s="1">
        <v>3</v>
      </c>
      <c r="C434" s="1" t="s">
        <v>7</v>
      </c>
      <c r="D434" s="1">
        <v>70</v>
      </c>
      <c r="E434" s="1">
        <v>38</v>
      </c>
      <c r="F434" s="1">
        <v>20</v>
      </c>
      <c r="G434" s="1">
        <v>10</v>
      </c>
      <c r="H434" s="1">
        <v>8</v>
      </c>
      <c r="I434" s="1">
        <v>61</v>
      </c>
      <c r="J434" s="1">
        <v>42</v>
      </c>
      <c r="K434" s="1">
        <v>19</v>
      </c>
      <c r="L434" s="1">
        <f t="shared" si="6"/>
        <v>1.1475409836065573</v>
      </c>
    </row>
    <row r="435" spans="1:12" x14ac:dyDescent="0.25">
      <c r="A435" s="1">
        <v>2024</v>
      </c>
      <c r="B435" s="1">
        <v>4</v>
      </c>
      <c r="C435" s="1" t="s">
        <v>22</v>
      </c>
      <c r="D435" s="1">
        <v>68</v>
      </c>
      <c r="E435" s="1">
        <v>38</v>
      </c>
      <c r="F435" s="1">
        <v>19</v>
      </c>
      <c r="G435" s="1">
        <v>11</v>
      </c>
      <c r="H435" s="1">
        <v>8</v>
      </c>
      <c r="I435" s="1">
        <v>53</v>
      </c>
      <c r="J435" s="1">
        <v>39</v>
      </c>
      <c r="K435" s="1">
        <v>14</v>
      </c>
      <c r="L435" s="1">
        <f t="shared" si="6"/>
        <v>1.2830188679245282</v>
      </c>
    </row>
    <row r="436" spans="1:12" x14ac:dyDescent="0.25">
      <c r="A436" s="1">
        <v>2024</v>
      </c>
      <c r="B436" s="1">
        <v>5</v>
      </c>
      <c r="C436" s="1" t="s">
        <v>6</v>
      </c>
      <c r="D436" s="1">
        <v>65</v>
      </c>
      <c r="E436" s="1">
        <v>38</v>
      </c>
      <c r="F436" s="1">
        <v>18</v>
      </c>
      <c r="G436" s="1">
        <v>11</v>
      </c>
      <c r="H436" s="1">
        <v>9</v>
      </c>
      <c r="I436" s="1">
        <v>53</v>
      </c>
      <c r="J436" s="1">
        <v>36</v>
      </c>
      <c r="K436" s="1">
        <v>17</v>
      </c>
      <c r="L436" s="1">
        <f t="shared" si="6"/>
        <v>1.2264150943396226</v>
      </c>
    </row>
    <row r="437" spans="1:12" x14ac:dyDescent="0.25">
      <c r="A437" s="1">
        <v>2024</v>
      </c>
      <c r="B437" s="1">
        <v>6</v>
      </c>
      <c r="C437" s="1" t="s">
        <v>2</v>
      </c>
      <c r="D437" s="1">
        <v>59</v>
      </c>
      <c r="E437" s="1">
        <v>38</v>
      </c>
      <c r="F437" s="1">
        <v>17</v>
      </c>
      <c r="G437" s="1">
        <v>8</v>
      </c>
      <c r="H437" s="1">
        <v>13</v>
      </c>
      <c r="I437" s="1">
        <v>53</v>
      </c>
      <c r="J437" s="1">
        <v>43</v>
      </c>
      <c r="K437" s="1">
        <v>10</v>
      </c>
      <c r="L437" s="1">
        <f t="shared" si="6"/>
        <v>1.1132075471698113</v>
      </c>
    </row>
    <row r="438" spans="1:12" x14ac:dyDescent="0.25">
      <c r="A438" s="1">
        <v>2024</v>
      </c>
      <c r="B438" s="1">
        <v>7</v>
      </c>
      <c r="C438" s="1" t="s">
        <v>14</v>
      </c>
      <c r="D438" s="1">
        <v>56</v>
      </c>
      <c r="E438" s="1">
        <v>38</v>
      </c>
      <c r="F438" s="1">
        <v>15</v>
      </c>
      <c r="G438" s="1">
        <v>11</v>
      </c>
      <c r="H438" s="1">
        <v>12</v>
      </c>
      <c r="I438" s="1">
        <v>54</v>
      </c>
      <c r="J438" s="1">
        <v>45</v>
      </c>
      <c r="K438" s="1">
        <v>9</v>
      </c>
      <c r="L438" s="1">
        <f t="shared" si="6"/>
        <v>1.037037037037037</v>
      </c>
    </row>
    <row r="439" spans="1:12" x14ac:dyDescent="0.25">
      <c r="A439" s="1">
        <v>2024</v>
      </c>
      <c r="B439" s="1">
        <v>8</v>
      </c>
      <c r="C439" s="1" t="s">
        <v>23</v>
      </c>
      <c r="D439" s="1">
        <v>53</v>
      </c>
      <c r="E439" s="1">
        <v>38</v>
      </c>
      <c r="F439" s="1">
        <v>15</v>
      </c>
      <c r="G439" s="1">
        <v>8</v>
      </c>
      <c r="H439" s="1">
        <v>15</v>
      </c>
      <c r="I439" s="1">
        <v>49</v>
      </c>
      <c r="J439" s="1">
        <v>49</v>
      </c>
      <c r="K439" s="1">
        <v>0</v>
      </c>
      <c r="L439" s="1">
        <f t="shared" si="6"/>
        <v>1.0816326530612246</v>
      </c>
    </row>
    <row r="440" spans="1:12" x14ac:dyDescent="0.25">
      <c r="A440" s="1">
        <v>2024</v>
      </c>
      <c r="B440" s="1">
        <v>9</v>
      </c>
      <c r="C440" s="1" t="s">
        <v>16</v>
      </c>
      <c r="D440" s="1">
        <v>50</v>
      </c>
      <c r="E440" s="1">
        <v>38</v>
      </c>
      <c r="F440" s="1">
        <v>14</v>
      </c>
      <c r="G440" s="1">
        <v>8</v>
      </c>
      <c r="H440" s="1">
        <v>16</v>
      </c>
      <c r="I440" s="1">
        <v>43</v>
      </c>
      <c r="J440" s="1">
        <v>56</v>
      </c>
      <c r="K440" s="1">
        <v>-13</v>
      </c>
      <c r="L440" s="1">
        <f t="shared" si="6"/>
        <v>1.1627906976744187</v>
      </c>
    </row>
    <row r="441" spans="1:12" x14ac:dyDescent="0.25">
      <c r="A441" s="1">
        <v>2024</v>
      </c>
      <c r="B441" s="1">
        <v>10</v>
      </c>
      <c r="C441" s="1" t="s">
        <v>0</v>
      </c>
      <c r="D441" s="1">
        <v>49</v>
      </c>
      <c r="E441" s="1">
        <v>37</v>
      </c>
      <c r="F441" s="1">
        <v>13</v>
      </c>
      <c r="G441" s="1">
        <v>10</v>
      </c>
      <c r="H441" s="1">
        <v>14</v>
      </c>
      <c r="I441" s="1">
        <v>42</v>
      </c>
      <c r="J441" s="1">
        <v>41</v>
      </c>
      <c r="K441" s="1">
        <v>1</v>
      </c>
      <c r="L441" s="1">
        <f t="shared" si="6"/>
        <v>1.1666666666666667</v>
      </c>
    </row>
    <row r="442" spans="1:12" x14ac:dyDescent="0.25">
      <c r="A442" s="1">
        <v>2024</v>
      </c>
      <c r="B442" s="1">
        <v>11</v>
      </c>
      <c r="C442" s="1" t="s">
        <v>15</v>
      </c>
      <c r="D442" s="1">
        <v>47</v>
      </c>
      <c r="E442" s="1">
        <v>38</v>
      </c>
      <c r="F442" s="1">
        <v>13</v>
      </c>
      <c r="G442" s="1">
        <v>8</v>
      </c>
      <c r="H442" s="1">
        <v>17</v>
      </c>
      <c r="I442" s="1">
        <v>45</v>
      </c>
      <c r="J442" s="1">
        <v>52</v>
      </c>
      <c r="K442" s="1">
        <v>-7</v>
      </c>
      <c r="L442" s="1">
        <f t="shared" si="6"/>
        <v>1.0444444444444445</v>
      </c>
    </row>
    <row r="443" spans="1:12" x14ac:dyDescent="0.25">
      <c r="A443" s="1">
        <v>2024</v>
      </c>
      <c r="B443" s="1">
        <v>12</v>
      </c>
      <c r="C443" s="1" t="s">
        <v>5</v>
      </c>
      <c r="D443" s="1">
        <v>47</v>
      </c>
      <c r="E443" s="1">
        <v>38</v>
      </c>
      <c r="F443" s="1">
        <v>11</v>
      </c>
      <c r="G443" s="1">
        <v>14</v>
      </c>
      <c r="H443" s="1">
        <v>13</v>
      </c>
      <c r="I443" s="1">
        <v>47</v>
      </c>
      <c r="J443" s="1">
        <v>54</v>
      </c>
      <c r="K443" s="1">
        <v>-7</v>
      </c>
      <c r="L443" s="1">
        <f t="shared" si="6"/>
        <v>1</v>
      </c>
    </row>
    <row r="444" spans="1:12" x14ac:dyDescent="0.25">
      <c r="A444" s="1">
        <v>2024</v>
      </c>
      <c r="B444" s="1">
        <v>13</v>
      </c>
      <c r="C444" s="1" t="s">
        <v>18</v>
      </c>
      <c r="D444" s="1">
        <v>46</v>
      </c>
      <c r="E444" s="1">
        <v>38</v>
      </c>
      <c r="F444" s="1">
        <v>12</v>
      </c>
      <c r="G444" s="1">
        <v>10</v>
      </c>
      <c r="H444" s="1">
        <v>16</v>
      </c>
      <c r="I444" s="1">
        <v>33</v>
      </c>
      <c r="J444" s="1">
        <v>39</v>
      </c>
      <c r="K444" s="1">
        <v>-6</v>
      </c>
      <c r="L444" s="1">
        <f t="shared" si="6"/>
        <v>1.393939393939394</v>
      </c>
    </row>
    <row r="445" spans="1:12" x14ac:dyDescent="0.25">
      <c r="A445" s="1">
        <v>2024</v>
      </c>
      <c r="B445" s="1">
        <v>14</v>
      </c>
      <c r="C445" s="1" t="s">
        <v>20</v>
      </c>
      <c r="D445" s="1">
        <v>45</v>
      </c>
      <c r="E445" s="1">
        <v>38</v>
      </c>
      <c r="F445" s="1">
        <v>12</v>
      </c>
      <c r="G445" s="1">
        <v>9</v>
      </c>
      <c r="H445" s="1">
        <v>17</v>
      </c>
      <c r="I445" s="1">
        <v>44</v>
      </c>
      <c r="J445" s="1">
        <v>50</v>
      </c>
      <c r="K445" s="1">
        <v>-6</v>
      </c>
      <c r="L445" s="1">
        <f t="shared" si="6"/>
        <v>1.0227272727272727</v>
      </c>
    </row>
    <row r="446" spans="1:12" x14ac:dyDescent="0.25">
      <c r="A446" s="1">
        <v>2024</v>
      </c>
      <c r="B446" s="1">
        <v>15</v>
      </c>
      <c r="C446" s="1" t="s">
        <v>17</v>
      </c>
      <c r="D446" s="1">
        <v>45</v>
      </c>
      <c r="E446" s="1">
        <v>37</v>
      </c>
      <c r="F446" s="1">
        <v>11</v>
      </c>
      <c r="G446" s="1">
        <v>12</v>
      </c>
      <c r="H446" s="1">
        <v>14</v>
      </c>
      <c r="I446" s="1">
        <v>48</v>
      </c>
      <c r="J446" s="1">
        <v>58</v>
      </c>
      <c r="K446" s="1">
        <v>-10</v>
      </c>
      <c r="L446" s="1">
        <f t="shared" si="6"/>
        <v>0.9375</v>
      </c>
    </row>
    <row r="447" spans="1:12" x14ac:dyDescent="0.25">
      <c r="A447" s="1">
        <v>2024</v>
      </c>
      <c r="B447" s="1">
        <v>16</v>
      </c>
      <c r="C447" s="1" t="s">
        <v>42</v>
      </c>
      <c r="D447" s="1">
        <v>44</v>
      </c>
      <c r="E447" s="1">
        <v>38</v>
      </c>
      <c r="F447" s="1">
        <v>10</v>
      </c>
      <c r="G447" s="1">
        <v>14</v>
      </c>
      <c r="H447" s="1">
        <v>14</v>
      </c>
      <c r="I447" s="1">
        <v>44</v>
      </c>
      <c r="J447" s="1">
        <v>48</v>
      </c>
      <c r="K447" s="1">
        <v>-4</v>
      </c>
      <c r="L447" s="1">
        <f t="shared" si="6"/>
        <v>1</v>
      </c>
    </row>
    <row r="448" spans="1:12" x14ac:dyDescent="0.25">
      <c r="A448" s="1">
        <v>2024</v>
      </c>
      <c r="B448" s="1">
        <v>17</v>
      </c>
      <c r="C448" s="1" t="s">
        <v>11</v>
      </c>
      <c r="D448" s="1">
        <v>42</v>
      </c>
      <c r="E448" s="1">
        <v>38</v>
      </c>
      <c r="F448" s="1">
        <v>11</v>
      </c>
      <c r="G448" s="1">
        <v>9</v>
      </c>
      <c r="H448" s="1">
        <v>18</v>
      </c>
      <c r="I448" s="1">
        <v>40</v>
      </c>
      <c r="J448" s="1">
        <v>46</v>
      </c>
      <c r="K448" s="1">
        <v>-6</v>
      </c>
      <c r="L448" s="1">
        <f t="shared" si="6"/>
        <v>1.05</v>
      </c>
    </row>
    <row r="449" spans="1:12" x14ac:dyDescent="0.25">
      <c r="A449" s="1">
        <v>2024</v>
      </c>
      <c r="B449" s="1">
        <v>18</v>
      </c>
      <c r="C449" s="1" t="s">
        <v>13</v>
      </c>
      <c r="D449" s="1">
        <v>38</v>
      </c>
      <c r="E449" s="1">
        <v>38</v>
      </c>
      <c r="F449" s="1">
        <v>9</v>
      </c>
      <c r="G449" s="1">
        <v>11</v>
      </c>
      <c r="H449" s="1">
        <v>18</v>
      </c>
      <c r="I449" s="1">
        <v>42</v>
      </c>
      <c r="J449" s="1">
        <v>61</v>
      </c>
      <c r="K449" s="1">
        <v>-19</v>
      </c>
      <c r="L449" s="1">
        <f t="shared" si="6"/>
        <v>0.90476190476190477</v>
      </c>
    </row>
    <row r="450" spans="1:12" x14ac:dyDescent="0.25">
      <c r="A450" s="1">
        <v>2024</v>
      </c>
      <c r="B450" s="1">
        <v>19</v>
      </c>
      <c r="C450" s="1" t="s">
        <v>37</v>
      </c>
      <c r="D450" s="1">
        <v>30</v>
      </c>
      <c r="E450" s="1">
        <v>38</v>
      </c>
      <c r="F450" s="1">
        <v>7</v>
      </c>
      <c r="G450" s="1">
        <v>9</v>
      </c>
      <c r="H450" s="1">
        <v>22</v>
      </c>
      <c r="I450" s="1">
        <v>29</v>
      </c>
      <c r="J450" s="1">
        <v>58</v>
      </c>
      <c r="K450" s="1">
        <v>-29</v>
      </c>
      <c r="L450" s="1">
        <f t="shared" si="6"/>
        <v>1.0344827586206897</v>
      </c>
    </row>
    <row r="451" spans="1:12" x14ac:dyDescent="0.25">
      <c r="A451" s="1">
        <v>2024</v>
      </c>
      <c r="B451" s="1">
        <v>20</v>
      </c>
      <c r="C451" s="1" t="s">
        <v>43</v>
      </c>
      <c r="D451" s="1">
        <v>30</v>
      </c>
      <c r="E451" s="1">
        <v>38</v>
      </c>
      <c r="F451" s="1">
        <v>6</v>
      </c>
      <c r="G451" s="1">
        <v>12</v>
      </c>
      <c r="H451" s="1">
        <v>20</v>
      </c>
      <c r="I451" s="1">
        <v>29</v>
      </c>
      <c r="J451" s="1">
        <v>49</v>
      </c>
      <c r="K451" s="1">
        <v>-20</v>
      </c>
      <c r="L451" s="1">
        <f t="shared" ref="L451" si="7">D451/I451</f>
        <v>1.0344827586206897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7551-7FAD-4BD7-B6D6-5DD96AA80D52}">
  <dimension ref="A3:B48"/>
  <sheetViews>
    <sheetView workbookViewId="0">
      <selection activeCell="A3" sqref="A3"/>
    </sheetView>
  </sheetViews>
  <sheetFormatPr defaultRowHeight="15" x14ac:dyDescent="0.25"/>
  <cols>
    <col min="1" max="1" width="22.7109375" bestFit="1" customWidth="1"/>
    <col min="2" max="2" width="14.7109375" bestFit="1" customWidth="1"/>
    <col min="3" max="3" width="15.28515625" bestFit="1" customWidth="1"/>
  </cols>
  <sheetData>
    <row r="3" spans="1:2" x14ac:dyDescent="0.25">
      <c r="A3" s="2" t="s">
        <v>44</v>
      </c>
      <c r="B3" t="s">
        <v>46</v>
      </c>
    </row>
    <row r="4" spans="1:2" x14ac:dyDescent="0.25">
      <c r="A4" s="3" t="s">
        <v>2</v>
      </c>
      <c r="B4">
        <v>1383</v>
      </c>
    </row>
    <row r="5" spans="1:2" x14ac:dyDescent="0.25">
      <c r="A5" s="3" t="s">
        <v>7</v>
      </c>
      <c r="B5">
        <v>1349</v>
      </c>
    </row>
    <row r="6" spans="1:2" x14ac:dyDescent="0.25">
      <c r="A6" s="3" t="s">
        <v>6</v>
      </c>
      <c r="B6">
        <v>1286</v>
      </c>
    </row>
    <row r="7" spans="1:2" x14ac:dyDescent="0.25">
      <c r="A7" s="3" t="s">
        <v>14</v>
      </c>
      <c r="B7">
        <v>1265</v>
      </c>
    </row>
    <row r="8" spans="1:2" x14ac:dyDescent="0.25">
      <c r="A8" s="3" t="s">
        <v>24</v>
      </c>
      <c r="B8">
        <v>1250</v>
      </c>
    </row>
    <row r="9" spans="1:2" x14ac:dyDescent="0.25">
      <c r="A9" s="3" t="s">
        <v>1</v>
      </c>
      <c r="B9">
        <v>1237</v>
      </c>
    </row>
    <row r="10" spans="1:2" x14ac:dyDescent="0.25">
      <c r="A10" s="3" t="s">
        <v>5</v>
      </c>
      <c r="B10">
        <v>1227</v>
      </c>
    </row>
    <row r="11" spans="1:2" x14ac:dyDescent="0.25">
      <c r="A11" s="3" t="s">
        <v>18</v>
      </c>
      <c r="B11">
        <v>1227</v>
      </c>
    </row>
    <row r="12" spans="1:2" x14ac:dyDescent="0.25">
      <c r="A12" s="3" t="s">
        <v>20</v>
      </c>
      <c r="B12">
        <v>1178</v>
      </c>
    </row>
    <row r="13" spans="1:2" x14ac:dyDescent="0.25">
      <c r="A13" s="3" t="s">
        <v>11</v>
      </c>
      <c r="B13">
        <v>1158</v>
      </c>
    </row>
    <row r="14" spans="1:2" x14ac:dyDescent="0.25">
      <c r="A14" s="3" t="s">
        <v>0</v>
      </c>
      <c r="B14">
        <v>1126</v>
      </c>
    </row>
    <row r="15" spans="1:2" x14ac:dyDescent="0.25">
      <c r="A15" s="3" t="s">
        <v>25</v>
      </c>
      <c r="B15">
        <v>1010</v>
      </c>
    </row>
    <row r="16" spans="1:2" x14ac:dyDescent="0.25">
      <c r="A16" s="3" t="s">
        <v>16</v>
      </c>
      <c r="B16">
        <v>862</v>
      </c>
    </row>
    <row r="17" spans="1:2" x14ac:dyDescent="0.25">
      <c r="A17" s="3" t="s">
        <v>8</v>
      </c>
      <c r="B17">
        <v>769</v>
      </c>
    </row>
    <row r="18" spans="1:2" x14ac:dyDescent="0.25">
      <c r="A18" s="3" t="s">
        <v>4</v>
      </c>
      <c r="B18">
        <v>718</v>
      </c>
    </row>
    <row r="19" spans="1:2" x14ac:dyDescent="0.25">
      <c r="A19" s="3" t="s">
        <v>23</v>
      </c>
      <c r="B19">
        <v>555</v>
      </c>
    </row>
    <row r="20" spans="1:2" x14ac:dyDescent="0.25">
      <c r="A20" s="3" t="s">
        <v>10</v>
      </c>
      <c r="B20">
        <v>550</v>
      </c>
    </row>
    <row r="21" spans="1:2" x14ac:dyDescent="0.25">
      <c r="A21" s="3" t="s">
        <v>15</v>
      </c>
      <c r="B21">
        <v>515</v>
      </c>
    </row>
    <row r="22" spans="1:2" x14ac:dyDescent="0.25">
      <c r="A22" s="3" t="s">
        <v>28</v>
      </c>
      <c r="B22">
        <v>500</v>
      </c>
    </row>
    <row r="23" spans="1:2" x14ac:dyDescent="0.25">
      <c r="A23" s="3" t="s">
        <v>22</v>
      </c>
      <c r="B23">
        <v>471</v>
      </c>
    </row>
    <row r="24" spans="1:2" x14ac:dyDescent="0.25">
      <c r="A24" s="3" t="s">
        <v>19</v>
      </c>
      <c r="B24">
        <v>432</v>
      </c>
    </row>
    <row r="25" spans="1:2" x14ac:dyDescent="0.25">
      <c r="A25" s="3" t="s">
        <v>17</v>
      </c>
      <c r="B25">
        <v>379</v>
      </c>
    </row>
    <row r="26" spans="1:2" x14ac:dyDescent="0.25">
      <c r="A26" s="3" t="s">
        <v>37</v>
      </c>
      <c r="B26">
        <v>325</v>
      </c>
    </row>
    <row r="27" spans="1:2" x14ac:dyDescent="0.25">
      <c r="A27" s="3" t="s">
        <v>36</v>
      </c>
      <c r="B27">
        <v>308</v>
      </c>
    </row>
    <row r="28" spans="1:2" x14ac:dyDescent="0.25">
      <c r="A28" s="3" t="s">
        <v>9</v>
      </c>
      <c r="B28">
        <v>304</v>
      </c>
    </row>
    <row r="29" spans="1:2" x14ac:dyDescent="0.25">
      <c r="A29" s="3" t="s">
        <v>39</v>
      </c>
      <c r="B29">
        <v>287</v>
      </c>
    </row>
    <row r="30" spans="1:2" x14ac:dyDescent="0.25">
      <c r="A30" s="3" t="s">
        <v>33</v>
      </c>
      <c r="B30">
        <v>271</v>
      </c>
    </row>
    <row r="31" spans="1:2" x14ac:dyDescent="0.25">
      <c r="A31" s="3" t="s">
        <v>42</v>
      </c>
      <c r="B31">
        <v>259</v>
      </c>
    </row>
    <row r="32" spans="1:2" x14ac:dyDescent="0.25">
      <c r="A32" s="3" t="s">
        <v>38</v>
      </c>
      <c r="B32">
        <v>235</v>
      </c>
    </row>
    <row r="33" spans="1:2" x14ac:dyDescent="0.25">
      <c r="A33" s="3" t="s">
        <v>13</v>
      </c>
      <c r="B33">
        <v>226</v>
      </c>
    </row>
    <row r="34" spans="1:2" x14ac:dyDescent="0.25">
      <c r="A34" s="3" t="s">
        <v>3</v>
      </c>
      <c r="B34">
        <v>215</v>
      </c>
    </row>
    <row r="35" spans="1:2" x14ac:dyDescent="0.25">
      <c r="A35" s="3" t="s">
        <v>29</v>
      </c>
      <c r="B35">
        <v>200</v>
      </c>
    </row>
    <row r="36" spans="1:2" x14ac:dyDescent="0.25">
      <c r="A36" s="3" t="s">
        <v>43</v>
      </c>
      <c r="B36">
        <v>169</v>
      </c>
    </row>
    <row r="37" spans="1:2" x14ac:dyDescent="0.25">
      <c r="A37" s="3" t="s">
        <v>12</v>
      </c>
      <c r="B37">
        <v>147</v>
      </c>
    </row>
    <row r="38" spans="1:2" x14ac:dyDescent="0.25">
      <c r="A38" s="3" t="s">
        <v>21</v>
      </c>
      <c r="B38">
        <v>146</v>
      </c>
    </row>
    <row r="39" spans="1:2" x14ac:dyDescent="0.25">
      <c r="A39" s="3" t="s">
        <v>31</v>
      </c>
      <c r="B39">
        <v>127</v>
      </c>
    </row>
    <row r="40" spans="1:2" x14ac:dyDescent="0.25">
      <c r="A40" s="3" t="s">
        <v>34</v>
      </c>
      <c r="B40">
        <v>77</v>
      </c>
    </row>
    <row r="41" spans="1:2" x14ac:dyDescent="0.25">
      <c r="A41" s="3" t="s">
        <v>27</v>
      </c>
      <c r="B41">
        <v>59</v>
      </c>
    </row>
    <row r="42" spans="1:2" x14ac:dyDescent="0.25">
      <c r="A42" s="3" t="s">
        <v>26</v>
      </c>
      <c r="B42">
        <v>41</v>
      </c>
    </row>
    <row r="43" spans="1:2" x14ac:dyDescent="0.25">
      <c r="A43" s="3" t="s">
        <v>35</v>
      </c>
      <c r="B43">
        <v>41</v>
      </c>
    </row>
    <row r="44" spans="1:2" x14ac:dyDescent="0.25">
      <c r="A44" s="3" t="s">
        <v>32</v>
      </c>
      <c r="B44">
        <v>35</v>
      </c>
    </row>
    <row r="45" spans="1:2" x14ac:dyDescent="0.25">
      <c r="A45" s="3" t="s">
        <v>41</v>
      </c>
      <c r="B45">
        <v>32</v>
      </c>
    </row>
    <row r="46" spans="1:2" x14ac:dyDescent="0.25">
      <c r="A46" s="3" t="s">
        <v>40</v>
      </c>
      <c r="B46">
        <v>31</v>
      </c>
    </row>
    <row r="47" spans="1:2" x14ac:dyDescent="0.25">
      <c r="A47" s="3" t="s">
        <v>30</v>
      </c>
      <c r="B47">
        <v>17</v>
      </c>
    </row>
    <row r="48" spans="1:2" x14ac:dyDescent="0.25">
      <c r="A48" s="3" t="s">
        <v>45</v>
      </c>
      <c r="B48">
        <v>23999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D0C2-BBAD-4489-ADE0-5DB2ABF63A52}">
  <dimension ref="A3:B48"/>
  <sheetViews>
    <sheetView workbookViewId="0">
      <selection activeCell="A3" sqref="A3:B48"/>
    </sheetView>
  </sheetViews>
  <sheetFormatPr defaultRowHeight="15" x14ac:dyDescent="0.25"/>
  <cols>
    <col min="1" max="1" width="20.7109375" bestFit="1" customWidth="1"/>
    <col min="2" max="2" width="13.7109375" bestFit="1" customWidth="1"/>
  </cols>
  <sheetData>
    <row r="3" spans="1:2" x14ac:dyDescent="0.25">
      <c r="A3" s="2" t="s">
        <v>44</v>
      </c>
      <c r="B3" t="s">
        <v>47</v>
      </c>
    </row>
    <row r="4" spans="1:2" x14ac:dyDescent="0.25">
      <c r="A4" s="3" t="s">
        <v>7</v>
      </c>
      <c r="B4">
        <v>1230</v>
      </c>
    </row>
    <row r="5" spans="1:2" x14ac:dyDescent="0.25">
      <c r="A5" s="3" t="s">
        <v>2</v>
      </c>
      <c r="B5">
        <v>1216</v>
      </c>
    </row>
    <row r="6" spans="1:2" x14ac:dyDescent="0.25">
      <c r="A6" s="3" t="s">
        <v>5</v>
      </c>
      <c r="B6">
        <v>1178</v>
      </c>
    </row>
    <row r="7" spans="1:2" x14ac:dyDescent="0.25">
      <c r="A7" s="3" t="s">
        <v>1</v>
      </c>
      <c r="B7">
        <v>1178</v>
      </c>
    </row>
    <row r="8" spans="1:2" x14ac:dyDescent="0.25">
      <c r="A8" s="3" t="s">
        <v>24</v>
      </c>
      <c r="B8">
        <v>1137</v>
      </c>
    </row>
    <row r="9" spans="1:2" x14ac:dyDescent="0.25">
      <c r="A9" s="3" t="s">
        <v>18</v>
      </c>
      <c r="B9">
        <v>1131</v>
      </c>
    </row>
    <row r="10" spans="1:2" x14ac:dyDescent="0.25">
      <c r="A10" s="3" t="s">
        <v>6</v>
      </c>
      <c r="B10">
        <v>1095</v>
      </c>
    </row>
    <row r="11" spans="1:2" x14ac:dyDescent="0.25">
      <c r="A11" s="3" t="s">
        <v>11</v>
      </c>
      <c r="B11">
        <v>1073</v>
      </c>
    </row>
    <row r="12" spans="1:2" x14ac:dyDescent="0.25">
      <c r="A12" s="3" t="s">
        <v>20</v>
      </c>
      <c r="B12">
        <v>1063</v>
      </c>
    </row>
    <row r="13" spans="1:2" x14ac:dyDescent="0.25">
      <c r="A13" s="3" t="s">
        <v>0</v>
      </c>
      <c r="B13">
        <v>1055</v>
      </c>
    </row>
    <row r="14" spans="1:2" x14ac:dyDescent="0.25">
      <c r="A14" s="3" t="s">
        <v>14</v>
      </c>
      <c r="B14">
        <v>1053</v>
      </c>
    </row>
    <row r="15" spans="1:2" x14ac:dyDescent="0.25">
      <c r="A15" s="3" t="s">
        <v>25</v>
      </c>
      <c r="B15">
        <v>935</v>
      </c>
    </row>
    <row r="16" spans="1:2" x14ac:dyDescent="0.25">
      <c r="A16" s="3" t="s">
        <v>16</v>
      </c>
      <c r="B16">
        <v>830</v>
      </c>
    </row>
    <row r="17" spans="1:2" x14ac:dyDescent="0.25">
      <c r="A17" s="3" t="s">
        <v>8</v>
      </c>
      <c r="B17">
        <v>789</v>
      </c>
    </row>
    <row r="18" spans="1:2" x14ac:dyDescent="0.25">
      <c r="A18" s="3" t="s">
        <v>4</v>
      </c>
      <c r="B18">
        <v>693</v>
      </c>
    </row>
    <row r="19" spans="1:2" x14ac:dyDescent="0.25">
      <c r="A19" s="3" t="s">
        <v>15</v>
      </c>
      <c r="B19">
        <v>537</v>
      </c>
    </row>
    <row r="20" spans="1:2" x14ac:dyDescent="0.25">
      <c r="A20" s="3" t="s">
        <v>10</v>
      </c>
      <c r="B20">
        <v>530</v>
      </c>
    </row>
    <row r="21" spans="1:2" x14ac:dyDescent="0.25">
      <c r="A21" s="3" t="s">
        <v>23</v>
      </c>
      <c r="B21">
        <v>529</v>
      </c>
    </row>
    <row r="22" spans="1:2" x14ac:dyDescent="0.25">
      <c r="A22" s="3" t="s">
        <v>28</v>
      </c>
      <c r="B22">
        <v>463</v>
      </c>
    </row>
    <row r="23" spans="1:2" x14ac:dyDescent="0.25">
      <c r="A23" s="3" t="s">
        <v>22</v>
      </c>
      <c r="B23">
        <v>427</v>
      </c>
    </row>
    <row r="24" spans="1:2" x14ac:dyDescent="0.25">
      <c r="A24" s="3" t="s">
        <v>19</v>
      </c>
      <c r="B24">
        <v>414</v>
      </c>
    </row>
    <row r="25" spans="1:2" x14ac:dyDescent="0.25">
      <c r="A25" s="3" t="s">
        <v>17</v>
      </c>
      <c r="B25">
        <v>381</v>
      </c>
    </row>
    <row r="26" spans="1:2" x14ac:dyDescent="0.25">
      <c r="A26" s="3" t="s">
        <v>37</v>
      </c>
      <c r="B26">
        <v>317</v>
      </c>
    </row>
    <row r="27" spans="1:2" x14ac:dyDescent="0.25">
      <c r="A27" s="3" t="s">
        <v>9</v>
      </c>
      <c r="B27">
        <v>312</v>
      </c>
    </row>
    <row r="28" spans="1:2" x14ac:dyDescent="0.25">
      <c r="A28" s="3" t="s">
        <v>36</v>
      </c>
      <c r="B28">
        <v>277</v>
      </c>
    </row>
    <row r="29" spans="1:2" x14ac:dyDescent="0.25">
      <c r="A29" s="3" t="s">
        <v>33</v>
      </c>
      <c r="B29">
        <v>274</v>
      </c>
    </row>
    <row r="30" spans="1:2" x14ac:dyDescent="0.25">
      <c r="A30" s="3" t="s">
        <v>39</v>
      </c>
      <c r="B30">
        <v>261</v>
      </c>
    </row>
    <row r="31" spans="1:2" x14ac:dyDescent="0.25">
      <c r="A31" s="3" t="s">
        <v>42</v>
      </c>
      <c r="B31">
        <v>247</v>
      </c>
    </row>
    <row r="32" spans="1:2" x14ac:dyDescent="0.25">
      <c r="A32" s="3" t="s">
        <v>13</v>
      </c>
      <c r="B32">
        <v>237</v>
      </c>
    </row>
    <row r="33" spans="1:2" x14ac:dyDescent="0.25">
      <c r="A33" s="3" t="s">
        <v>38</v>
      </c>
      <c r="B33">
        <v>227</v>
      </c>
    </row>
    <row r="34" spans="1:2" x14ac:dyDescent="0.25">
      <c r="A34" s="3" t="s">
        <v>29</v>
      </c>
      <c r="B34">
        <v>224</v>
      </c>
    </row>
    <row r="35" spans="1:2" x14ac:dyDescent="0.25">
      <c r="A35" s="3" t="s">
        <v>3</v>
      </c>
      <c r="B35">
        <v>209</v>
      </c>
    </row>
    <row r="36" spans="1:2" x14ac:dyDescent="0.25">
      <c r="A36" s="3" t="s">
        <v>21</v>
      </c>
      <c r="B36">
        <v>193</v>
      </c>
    </row>
    <row r="37" spans="1:2" x14ac:dyDescent="0.25">
      <c r="A37" s="3" t="s">
        <v>12</v>
      </c>
      <c r="B37">
        <v>140</v>
      </c>
    </row>
    <row r="38" spans="1:2" x14ac:dyDescent="0.25">
      <c r="A38" s="3" t="s">
        <v>31</v>
      </c>
      <c r="B38">
        <v>137</v>
      </c>
    </row>
    <row r="39" spans="1:2" x14ac:dyDescent="0.25">
      <c r="A39" s="3" t="s">
        <v>43</v>
      </c>
      <c r="B39">
        <v>134</v>
      </c>
    </row>
    <row r="40" spans="1:2" x14ac:dyDescent="0.25">
      <c r="A40" s="3" t="s">
        <v>34</v>
      </c>
      <c r="B40">
        <v>98</v>
      </c>
    </row>
    <row r="41" spans="1:2" x14ac:dyDescent="0.25">
      <c r="A41" s="3" t="s">
        <v>27</v>
      </c>
      <c r="B41">
        <v>86</v>
      </c>
    </row>
    <row r="42" spans="1:2" x14ac:dyDescent="0.25">
      <c r="A42" s="3" t="s">
        <v>26</v>
      </c>
      <c r="B42">
        <v>47</v>
      </c>
    </row>
    <row r="43" spans="1:2" x14ac:dyDescent="0.25">
      <c r="A43" s="3" t="s">
        <v>35</v>
      </c>
      <c r="B43">
        <v>46</v>
      </c>
    </row>
    <row r="44" spans="1:2" x14ac:dyDescent="0.25">
      <c r="A44" s="3" t="s">
        <v>32</v>
      </c>
      <c r="B44">
        <v>37</v>
      </c>
    </row>
    <row r="45" spans="1:2" x14ac:dyDescent="0.25">
      <c r="A45" s="3" t="s">
        <v>40</v>
      </c>
      <c r="B45">
        <v>26</v>
      </c>
    </row>
    <row r="46" spans="1:2" x14ac:dyDescent="0.25">
      <c r="A46" s="3" t="s">
        <v>30</v>
      </c>
      <c r="B46">
        <v>24</v>
      </c>
    </row>
    <row r="47" spans="1:2" x14ac:dyDescent="0.25">
      <c r="A47" s="3" t="s">
        <v>41</v>
      </c>
      <c r="B47">
        <v>24</v>
      </c>
    </row>
    <row r="48" spans="1:2" x14ac:dyDescent="0.25">
      <c r="A48" s="3" t="s">
        <v>45</v>
      </c>
      <c r="B48">
        <v>22514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647F-56C6-495B-8486-636B8CA1F072}">
  <dimension ref="A3:B48"/>
  <sheetViews>
    <sheetView workbookViewId="0">
      <selection activeCell="A3" sqref="A3:B48"/>
    </sheetView>
  </sheetViews>
  <sheetFormatPr defaultRowHeight="15" x14ac:dyDescent="0.25"/>
  <cols>
    <col min="1" max="1" width="20.7109375" bestFit="1" customWidth="1"/>
    <col min="2" max="2" width="19.85546875" bestFit="1" customWidth="1"/>
  </cols>
  <sheetData>
    <row r="3" spans="1:2" x14ac:dyDescent="0.25">
      <c r="A3" s="2" t="s">
        <v>44</v>
      </c>
      <c r="B3" t="s">
        <v>48</v>
      </c>
    </row>
    <row r="4" spans="1:2" x14ac:dyDescent="0.25">
      <c r="A4" s="3" t="s">
        <v>18</v>
      </c>
      <c r="B4">
        <v>1071</v>
      </c>
    </row>
    <row r="5" spans="1:2" x14ac:dyDescent="0.25">
      <c r="A5" s="3" t="s">
        <v>5</v>
      </c>
      <c r="B5">
        <v>1035</v>
      </c>
    </row>
    <row r="6" spans="1:2" x14ac:dyDescent="0.25">
      <c r="A6" s="3" t="s">
        <v>11</v>
      </c>
      <c r="B6">
        <v>1011</v>
      </c>
    </row>
    <row r="7" spans="1:2" x14ac:dyDescent="0.25">
      <c r="A7" s="3" t="s">
        <v>7</v>
      </c>
      <c r="B7">
        <v>1004</v>
      </c>
    </row>
    <row r="8" spans="1:2" x14ac:dyDescent="0.25">
      <c r="A8" s="3" t="s">
        <v>1</v>
      </c>
      <c r="B8">
        <v>982</v>
      </c>
    </row>
    <row r="9" spans="1:2" x14ac:dyDescent="0.25">
      <c r="A9" s="3" t="s">
        <v>16</v>
      </c>
      <c r="B9">
        <v>937</v>
      </c>
    </row>
    <row r="10" spans="1:2" x14ac:dyDescent="0.25">
      <c r="A10" s="3" t="s">
        <v>2</v>
      </c>
      <c r="B10">
        <v>922</v>
      </c>
    </row>
    <row r="11" spans="1:2" x14ac:dyDescent="0.25">
      <c r="A11" s="3" t="s">
        <v>25</v>
      </c>
      <c r="B11">
        <v>910</v>
      </c>
    </row>
    <row r="12" spans="1:2" x14ac:dyDescent="0.25">
      <c r="A12" s="3" t="s">
        <v>0</v>
      </c>
      <c r="B12">
        <v>891</v>
      </c>
    </row>
    <row r="13" spans="1:2" x14ac:dyDescent="0.25">
      <c r="A13" s="3" t="s">
        <v>6</v>
      </c>
      <c r="B13">
        <v>889</v>
      </c>
    </row>
    <row r="14" spans="1:2" x14ac:dyDescent="0.25">
      <c r="A14" s="3" t="s">
        <v>20</v>
      </c>
      <c r="B14">
        <v>884</v>
      </c>
    </row>
    <row r="15" spans="1:2" x14ac:dyDescent="0.25">
      <c r="A15" s="3" t="s">
        <v>14</v>
      </c>
      <c r="B15">
        <v>877</v>
      </c>
    </row>
    <row r="16" spans="1:2" x14ac:dyDescent="0.25">
      <c r="A16" s="3" t="s">
        <v>24</v>
      </c>
      <c r="B16">
        <v>873</v>
      </c>
    </row>
    <row r="17" spans="1:2" x14ac:dyDescent="0.25">
      <c r="A17" s="3" t="s">
        <v>8</v>
      </c>
      <c r="B17">
        <v>839</v>
      </c>
    </row>
    <row r="18" spans="1:2" x14ac:dyDescent="0.25">
      <c r="A18" s="3" t="s">
        <v>4</v>
      </c>
      <c r="B18">
        <v>787</v>
      </c>
    </row>
    <row r="19" spans="1:2" x14ac:dyDescent="0.25">
      <c r="A19" s="3" t="s">
        <v>15</v>
      </c>
      <c r="B19">
        <v>633</v>
      </c>
    </row>
    <row r="20" spans="1:2" x14ac:dyDescent="0.25">
      <c r="A20" s="3" t="s">
        <v>10</v>
      </c>
      <c r="B20">
        <v>622</v>
      </c>
    </row>
    <row r="21" spans="1:2" x14ac:dyDescent="0.25">
      <c r="A21" s="3" t="s">
        <v>23</v>
      </c>
      <c r="B21">
        <v>614</v>
      </c>
    </row>
    <row r="22" spans="1:2" x14ac:dyDescent="0.25">
      <c r="A22" s="3" t="s">
        <v>28</v>
      </c>
      <c r="B22">
        <v>568</v>
      </c>
    </row>
    <row r="23" spans="1:2" x14ac:dyDescent="0.25">
      <c r="A23" s="3" t="s">
        <v>19</v>
      </c>
      <c r="B23">
        <v>534</v>
      </c>
    </row>
    <row r="24" spans="1:2" x14ac:dyDescent="0.25">
      <c r="A24" s="3" t="s">
        <v>17</v>
      </c>
      <c r="B24">
        <v>498</v>
      </c>
    </row>
    <row r="25" spans="1:2" x14ac:dyDescent="0.25">
      <c r="A25" s="3" t="s">
        <v>22</v>
      </c>
      <c r="B25">
        <v>460</v>
      </c>
    </row>
    <row r="26" spans="1:2" x14ac:dyDescent="0.25">
      <c r="A26" s="3" t="s">
        <v>37</v>
      </c>
      <c r="B26">
        <v>421</v>
      </c>
    </row>
    <row r="27" spans="1:2" x14ac:dyDescent="0.25">
      <c r="A27" s="3" t="s">
        <v>33</v>
      </c>
      <c r="B27">
        <v>415</v>
      </c>
    </row>
    <row r="28" spans="1:2" x14ac:dyDescent="0.25">
      <c r="A28" s="3" t="s">
        <v>9</v>
      </c>
      <c r="B28">
        <v>369</v>
      </c>
    </row>
    <row r="29" spans="1:2" x14ac:dyDescent="0.25">
      <c r="A29" s="3" t="s">
        <v>39</v>
      </c>
      <c r="B29">
        <v>362</v>
      </c>
    </row>
    <row r="30" spans="1:2" x14ac:dyDescent="0.25">
      <c r="A30" s="3" t="s">
        <v>38</v>
      </c>
      <c r="B30">
        <v>332</v>
      </c>
    </row>
    <row r="31" spans="1:2" x14ac:dyDescent="0.25">
      <c r="A31" s="3" t="s">
        <v>13</v>
      </c>
      <c r="B31">
        <v>327</v>
      </c>
    </row>
    <row r="32" spans="1:2" x14ac:dyDescent="0.25">
      <c r="A32" s="3" t="s">
        <v>29</v>
      </c>
      <c r="B32">
        <v>318</v>
      </c>
    </row>
    <row r="33" spans="1:2" x14ac:dyDescent="0.25">
      <c r="A33" s="3" t="s">
        <v>36</v>
      </c>
      <c r="B33">
        <v>317</v>
      </c>
    </row>
    <row r="34" spans="1:2" x14ac:dyDescent="0.25">
      <c r="A34" s="3" t="s">
        <v>21</v>
      </c>
      <c r="B34">
        <v>245</v>
      </c>
    </row>
    <row r="35" spans="1:2" x14ac:dyDescent="0.25">
      <c r="A35" s="3" t="s">
        <v>42</v>
      </c>
      <c r="B35">
        <v>228</v>
      </c>
    </row>
    <row r="36" spans="1:2" x14ac:dyDescent="0.25">
      <c r="A36" s="3" t="s">
        <v>3</v>
      </c>
      <c r="B36">
        <v>199</v>
      </c>
    </row>
    <row r="37" spans="1:2" x14ac:dyDescent="0.25">
      <c r="A37" s="3" t="s">
        <v>12</v>
      </c>
      <c r="B37">
        <v>180</v>
      </c>
    </row>
    <row r="38" spans="1:2" x14ac:dyDescent="0.25">
      <c r="A38" s="3" t="s">
        <v>43</v>
      </c>
      <c r="B38">
        <v>167</v>
      </c>
    </row>
    <row r="39" spans="1:2" x14ac:dyDescent="0.25">
      <c r="A39" s="3" t="s">
        <v>31</v>
      </c>
      <c r="B39">
        <v>157</v>
      </c>
    </row>
    <row r="40" spans="1:2" x14ac:dyDescent="0.25">
      <c r="A40" s="3" t="s">
        <v>27</v>
      </c>
      <c r="B40">
        <v>145</v>
      </c>
    </row>
    <row r="41" spans="1:2" x14ac:dyDescent="0.25">
      <c r="A41" s="3" t="s">
        <v>34</v>
      </c>
      <c r="B41">
        <v>116</v>
      </c>
    </row>
    <row r="42" spans="1:2" x14ac:dyDescent="0.25">
      <c r="A42" s="3" t="s">
        <v>30</v>
      </c>
      <c r="B42">
        <v>80</v>
      </c>
    </row>
    <row r="43" spans="1:2" x14ac:dyDescent="0.25">
      <c r="A43" s="3" t="s">
        <v>26</v>
      </c>
      <c r="B43">
        <v>67</v>
      </c>
    </row>
    <row r="44" spans="1:2" x14ac:dyDescent="0.25">
      <c r="A44" s="3" t="s">
        <v>32</v>
      </c>
      <c r="B44">
        <v>67</v>
      </c>
    </row>
    <row r="45" spans="1:2" x14ac:dyDescent="0.25">
      <c r="A45" s="3" t="s">
        <v>35</v>
      </c>
      <c r="B45">
        <v>61</v>
      </c>
    </row>
    <row r="46" spans="1:2" x14ac:dyDescent="0.25">
      <c r="A46" s="3" t="s">
        <v>41</v>
      </c>
      <c r="B46">
        <v>58</v>
      </c>
    </row>
    <row r="47" spans="1:2" x14ac:dyDescent="0.25">
      <c r="A47" s="3" t="s">
        <v>40</v>
      </c>
      <c r="B47">
        <v>48</v>
      </c>
    </row>
    <row r="48" spans="1:2" x14ac:dyDescent="0.25">
      <c r="A48" s="3" t="s">
        <v>45</v>
      </c>
      <c r="B48">
        <v>22520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64E4-9EB3-416E-89CC-59531772D193}">
  <dimension ref="A3:B48"/>
  <sheetViews>
    <sheetView workbookViewId="0">
      <selection activeCell="H2" sqref="H2"/>
    </sheetView>
  </sheetViews>
  <sheetFormatPr defaultRowHeight="15" x14ac:dyDescent="0.25"/>
  <cols>
    <col min="1" max="1" width="20.7109375" bestFit="1" customWidth="1"/>
    <col min="2" max="2" width="18" bestFit="1" customWidth="1"/>
  </cols>
  <sheetData>
    <row r="3" spans="1:2" x14ac:dyDescent="0.25">
      <c r="A3" s="2" t="s">
        <v>44</v>
      </c>
      <c r="B3" t="s">
        <v>49</v>
      </c>
    </row>
    <row r="4" spans="1:2" x14ac:dyDescent="0.25">
      <c r="A4" s="3" t="s">
        <v>2</v>
      </c>
      <c r="B4">
        <v>294</v>
      </c>
    </row>
    <row r="5" spans="1:2" x14ac:dyDescent="0.25">
      <c r="A5" s="3" t="s">
        <v>24</v>
      </c>
      <c r="B5">
        <v>264</v>
      </c>
    </row>
    <row r="6" spans="1:2" x14ac:dyDescent="0.25">
      <c r="A6" s="3" t="s">
        <v>7</v>
      </c>
      <c r="B6">
        <v>226</v>
      </c>
    </row>
    <row r="7" spans="1:2" x14ac:dyDescent="0.25">
      <c r="A7" s="3" t="s">
        <v>6</v>
      </c>
      <c r="B7">
        <v>206</v>
      </c>
    </row>
    <row r="8" spans="1:2" x14ac:dyDescent="0.25">
      <c r="A8" s="3" t="s">
        <v>1</v>
      </c>
      <c r="B8">
        <v>196</v>
      </c>
    </row>
    <row r="9" spans="1:2" x14ac:dyDescent="0.25">
      <c r="A9" s="3" t="s">
        <v>20</v>
      </c>
      <c r="B9">
        <v>179</v>
      </c>
    </row>
    <row r="10" spans="1:2" x14ac:dyDescent="0.25">
      <c r="A10" s="3" t="s">
        <v>14</v>
      </c>
      <c r="B10">
        <v>176</v>
      </c>
    </row>
    <row r="11" spans="1:2" x14ac:dyDescent="0.25">
      <c r="A11" s="3" t="s">
        <v>0</v>
      </c>
      <c r="B11">
        <v>164</v>
      </c>
    </row>
    <row r="12" spans="1:2" x14ac:dyDescent="0.25">
      <c r="A12" s="3" t="s">
        <v>5</v>
      </c>
      <c r="B12">
        <v>143</v>
      </c>
    </row>
    <row r="13" spans="1:2" x14ac:dyDescent="0.25">
      <c r="A13" s="3" t="s">
        <v>11</v>
      </c>
      <c r="B13">
        <v>62</v>
      </c>
    </row>
    <row r="14" spans="1:2" x14ac:dyDescent="0.25">
      <c r="A14" s="3" t="s">
        <v>18</v>
      </c>
      <c r="B14">
        <v>60</v>
      </c>
    </row>
    <row r="15" spans="1:2" x14ac:dyDescent="0.25">
      <c r="A15" s="3" t="s">
        <v>25</v>
      </c>
      <c r="B15">
        <v>25</v>
      </c>
    </row>
    <row r="16" spans="1:2" x14ac:dyDescent="0.25">
      <c r="A16" s="3" t="s">
        <v>42</v>
      </c>
      <c r="B16">
        <v>19</v>
      </c>
    </row>
    <row r="17" spans="1:2" x14ac:dyDescent="0.25">
      <c r="A17" s="3" t="s">
        <v>3</v>
      </c>
      <c r="B17">
        <v>10</v>
      </c>
    </row>
    <row r="18" spans="1:2" x14ac:dyDescent="0.25">
      <c r="A18" s="3" t="s">
        <v>35</v>
      </c>
      <c r="B18">
        <v>-15</v>
      </c>
    </row>
    <row r="19" spans="1:2" x14ac:dyDescent="0.25">
      <c r="A19" s="3" t="s">
        <v>34</v>
      </c>
      <c r="B19">
        <v>-18</v>
      </c>
    </row>
    <row r="20" spans="1:2" x14ac:dyDescent="0.25">
      <c r="A20" s="3" t="s">
        <v>26</v>
      </c>
      <c r="B20">
        <v>-20</v>
      </c>
    </row>
    <row r="21" spans="1:2" x14ac:dyDescent="0.25">
      <c r="A21" s="3" t="s">
        <v>31</v>
      </c>
      <c r="B21">
        <v>-20</v>
      </c>
    </row>
    <row r="22" spans="1:2" x14ac:dyDescent="0.25">
      <c r="A22" s="3" t="s">
        <v>40</v>
      </c>
      <c r="B22">
        <v>-22</v>
      </c>
    </row>
    <row r="23" spans="1:2" x14ac:dyDescent="0.25">
      <c r="A23" s="3" t="s">
        <v>32</v>
      </c>
      <c r="B23">
        <v>-30</v>
      </c>
    </row>
    <row r="24" spans="1:2" x14ac:dyDescent="0.25">
      <c r="A24" s="3" t="s">
        <v>43</v>
      </c>
      <c r="B24">
        <v>-33</v>
      </c>
    </row>
    <row r="25" spans="1:2" x14ac:dyDescent="0.25">
      <c r="A25" s="3" t="s">
        <v>22</v>
      </c>
      <c r="B25">
        <v>-33</v>
      </c>
    </row>
    <row r="26" spans="1:2" x14ac:dyDescent="0.25">
      <c r="A26" s="3" t="s">
        <v>41</v>
      </c>
      <c r="B26">
        <v>-34</v>
      </c>
    </row>
    <row r="27" spans="1:2" x14ac:dyDescent="0.25">
      <c r="A27" s="3" t="s">
        <v>12</v>
      </c>
      <c r="B27">
        <v>-40</v>
      </c>
    </row>
    <row r="28" spans="1:2" x14ac:dyDescent="0.25">
      <c r="A28" s="3" t="s">
        <v>36</v>
      </c>
      <c r="B28">
        <v>-40</v>
      </c>
    </row>
    <row r="29" spans="1:2" x14ac:dyDescent="0.25">
      <c r="A29" s="3" t="s">
        <v>8</v>
      </c>
      <c r="B29">
        <v>-50</v>
      </c>
    </row>
    <row r="30" spans="1:2" x14ac:dyDescent="0.25">
      <c r="A30" s="3" t="s">
        <v>21</v>
      </c>
      <c r="B30">
        <v>-52</v>
      </c>
    </row>
    <row r="31" spans="1:2" x14ac:dyDescent="0.25">
      <c r="A31" s="3" t="s">
        <v>30</v>
      </c>
      <c r="B31">
        <v>-56</v>
      </c>
    </row>
    <row r="32" spans="1:2" x14ac:dyDescent="0.25">
      <c r="A32" s="3" t="s">
        <v>9</v>
      </c>
      <c r="B32">
        <v>-57</v>
      </c>
    </row>
    <row r="33" spans="1:2" x14ac:dyDescent="0.25">
      <c r="A33" s="3" t="s">
        <v>27</v>
      </c>
      <c r="B33">
        <v>-59</v>
      </c>
    </row>
    <row r="34" spans="1:2" x14ac:dyDescent="0.25">
      <c r="A34" s="3" t="s">
        <v>23</v>
      </c>
      <c r="B34">
        <v>-85</v>
      </c>
    </row>
    <row r="35" spans="1:2" x14ac:dyDescent="0.25">
      <c r="A35" s="3" t="s">
        <v>13</v>
      </c>
      <c r="B35">
        <v>-90</v>
      </c>
    </row>
    <row r="36" spans="1:2" x14ac:dyDescent="0.25">
      <c r="A36" s="3" t="s">
        <v>10</v>
      </c>
      <c r="B36">
        <v>-92</v>
      </c>
    </row>
    <row r="37" spans="1:2" x14ac:dyDescent="0.25">
      <c r="A37" s="3" t="s">
        <v>29</v>
      </c>
      <c r="B37">
        <v>-94</v>
      </c>
    </row>
    <row r="38" spans="1:2" x14ac:dyDescent="0.25">
      <c r="A38" s="3" t="s">
        <v>4</v>
      </c>
      <c r="B38">
        <v>-94</v>
      </c>
    </row>
    <row r="39" spans="1:2" x14ac:dyDescent="0.25">
      <c r="A39" s="3" t="s">
        <v>15</v>
      </c>
      <c r="B39">
        <v>-96</v>
      </c>
    </row>
    <row r="40" spans="1:2" x14ac:dyDescent="0.25">
      <c r="A40" s="3" t="s">
        <v>39</v>
      </c>
      <c r="B40">
        <v>-101</v>
      </c>
    </row>
    <row r="41" spans="1:2" x14ac:dyDescent="0.25">
      <c r="A41" s="3" t="s">
        <v>37</v>
      </c>
      <c r="B41">
        <v>-104</v>
      </c>
    </row>
    <row r="42" spans="1:2" x14ac:dyDescent="0.25">
      <c r="A42" s="3" t="s">
        <v>28</v>
      </c>
      <c r="B42">
        <v>-105</v>
      </c>
    </row>
    <row r="43" spans="1:2" x14ac:dyDescent="0.25">
      <c r="A43" s="3" t="s">
        <v>38</v>
      </c>
      <c r="B43">
        <v>-105</v>
      </c>
    </row>
    <row r="44" spans="1:2" x14ac:dyDescent="0.25">
      <c r="A44" s="3" t="s">
        <v>16</v>
      </c>
      <c r="B44">
        <v>-107</v>
      </c>
    </row>
    <row r="45" spans="1:2" x14ac:dyDescent="0.25">
      <c r="A45" s="3" t="s">
        <v>17</v>
      </c>
      <c r="B45">
        <v>-117</v>
      </c>
    </row>
    <row r="46" spans="1:2" x14ac:dyDescent="0.25">
      <c r="A46" s="3" t="s">
        <v>19</v>
      </c>
      <c r="B46">
        <v>-120</v>
      </c>
    </row>
    <row r="47" spans="1:2" x14ac:dyDescent="0.25">
      <c r="A47" s="3" t="s">
        <v>33</v>
      </c>
      <c r="B47">
        <v>-141</v>
      </c>
    </row>
    <row r="48" spans="1:2" x14ac:dyDescent="0.25">
      <c r="A48" s="3" t="s">
        <v>45</v>
      </c>
      <c r="B48">
        <v>-6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DCEE-AA75-479A-AA0C-238F6DFB02C2}">
  <dimension ref="A3:B48"/>
  <sheetViews>
    <sheetView workbookViewId="0">
      <selection activeCell="B4" sqref="B4"/>
    </sheetView>
  </sheetViews>
  <sheetFormatPr defaultRowHeight="15" x14ac:dyDescent="0.25"/>
  <cols>
    <col min="1" max="1" width="20.7109375" bestFit="1" customWidth="1"/>
    <col min="2" max="2" width="15.5703125" bestFit="1" customWidth="1"/>
  </cols>
  <sheetData>
    <row r="3" spans="1:2" x14ac:dyDescent="0.25">
      <c r="A3" s="2" t="s">
        <v>44</v>
      </c>
      <c r="B3" t="s">
        <v>50</v>
      </c>
    </row>
    <row r="4" spans="1:2" x14ac:dyDescent="0.25">
      <c r="A4" s="3" t="s">
        <v>2</v>
      </c>
      <c r="B4">
        <v>62.863636363636367</v>
      </c>
    </row>
    <row r="5" spans="1:2" x14ac:dyDescent="0.25">
      <c r="A5" s="3" t="s">
        <v>24</v>
      </c>
      <c r="B5">
        <v>62.5</v>
      </c>
    </row>
    <row r="6" spans="1:2" x14ac:dyDescent="0.25">
      <c r="A6" s="3" t="s">
        <v>7</v>
      </c>
      <c r="B6">
        <v>61.31818181818182</v>
      </c>
    </row>
    <row r="7" spans="1:2" x14ac:dyDescent="0.25">
      <c r="A7" s="3" t="s">
        <v>6</v>
      </c>
      <c r="B7">
        <v>61.238095238095241</v>
      </c>
    </row>
    <row r="8" spans="1:2" x14ac:dyDescent="0.25">
      <c r="A8" s="3" t="s">
        <v>14</v>
      </c>
      <c r="B8">
        <v>60.238095238095241</v>
      </c>
    </row>
    <row r="9" spans="1:2" x14ac:dyDescent="0.25">
      <c r="A9" s="3" t="s">
        <v>0</v>
      </c>
      <c r="B9">
        <v>59.263157894736842</v>
      </c>
    </row>
    <row r="10" spans="1:2" x14ac:dyDescent="0.25">
      <c r="A10" s="3" t="s">
        <v>1</v>
      </c>
      <c r="B10">
        <v>58.904761904761905</v>
      </c>
    </row>
    <row r="11" spans="1:2" x14ac:dyDescent="0.25">
      <c r="A11" s="3" t="s">
        <v>20</v>
      </c>
      <c r="B11">
        <v>58.9</v>
      </c>
    </row>
    <row r="12" spans="1:2" x14ac:dyDescent="0.25">
      <c r="A12" s="3" t="s">
        <v>5</v>
      </c>
      <c r="B12">
        <v>58.428571428571431</v>
      </c>
    </row>
    <row r="13" spans="1:2" x14ac:dyDescent="0.25">
      <c r="A13" s="3" t="s">
        <v>18</v>
      </c>
      <c r="B13">
        <v>55.772727272727273</v>
      </c>
    </row>
    <row r="14" spans="1:2" x14ac:dyDescent="0.25">
      <c r="A14" s="3" t="s">
        <v>11</v>
      </c>
      <c r="B14">
        <v>55.142857142857146</v>
      </c>
    </row>
    <row r="15" spans="1:2" x14ac:dyDescent="0.25">
      <c r="A15" s="3" t="s">
        <v>3</v>
      </c>
      <c r="B15">
        <v>53.75</v>
      </c>
    </row>
    <row r="16" spans="1:2" x14ac:dyDescent="0.25">
      <c r="A16" s="3" t="s">
        <v>25</v>
      </c>
      <c r="B16">
        <v>53.157894736842103</v>
      </c>
    </row>
    <row r="17" spans="1:2" x14ac:dyDescent="0.25">
      <c r="A17" s="3" t="s">
        <v>22</v>
      </c>
      <c r="B17">
        <v>52.333333333333336</v>
      </c>
    </row>
    <row r="18" spans="1:2" x14ac:dyDescent="0.25">
      <c r="A18" s="3" t="s">
        <v>42</v>
      </c>
      <c r="B18">
        <v>51.8</v>
      </c>
    </row>
    <row r="19" spans="1:2" x14ac:dyDescent="0.25">
      <c r="A19" s="3" t="s">
        <v>8</v>
      </c>
      <c r="B19">
        <v>51.266666666666666</v>
      </c>
    </row>
    <row r="20" spans="1:2" x14ac:dyDescent="0.25">
      <c r="A20" s="3" t="s">
        <v>16</v>
      </c>
      <c r="B20">
        <v>50.705882352941174</v>
      </c>
    </row>
    <row r="21" spans="1:2" x14ac:dyDescent="0.25">
      <c r="A21" s="3" t="s">
        <v>9</v>
      </c>
      <c r="B21">
        <v>50.666666666666664</v>
      </c>
    </row>
    <row r="22" spans="1:2" x14ac:dyDescent="0.25">
      <c r="A22" s="3" t="s">
        <v>10</v>
      </c>
      <c r="B22">
        <v>50</v>
      </c>
    </row>
    <row r="23" spans="1:2" x14ac:dyDescent="0.25">
      <c r="A23" s="3" t="s">
        <v>12</v>
      </c>
      <c r="B23">
        <v>49</v>
      </c>
    </row>
    <row r="24" spans="1:2" x14ac:dyDescent="0.25">
      <c r="A24" s="3" t="s">
        <v>21</v>
      </c>
      <c r="B24">
        <v>48.666666666666664</v>
      </c>
    </row>
    <row r="25" spans="1:2" x14ac:dyDescent="0.25">
      <c r="A25" s="3" t="s">
        <v>19</v>
      </c>
      <c r="B25">
        <v>48</v>
      </c>
    </row>
    <row r="26" spans="1:2" x14ac:dyDescent="0.25">
      <c r="A26" s="3" t="s">
        <v>4</v>
      </c>
      <c r="B26">
        <v>47.866666666666667</v>
      </c>
    </row>
    <row r="27" spans="1:2" x14ac:dyDescent="0.25">
      <c r="A27" s="3" t="s">
        <v>17</v>
      </c>
      <c r="B27">
        <v>47.375</v>
      </c>
    </row>
    <row r="28" spans="1:2" x14ac:dyDescent="0.25">
      <c r="A28" s="3" t="s">
        <v>15</v>
      </c>
      <c r="B28">
        <v>46.81818181818182</v>
      </c>
    </row>
    <row r="29" spans="1:2" x14ac:dyDescent="0.25">
      <c r="A29" s="3" t="s">
        <v>23</v>
      </c>
      <c r="B29">
        <v>46.25</v>
      </c>
    </row>
    <row r="30" spans="1:2" x14ac:dyDescent="0.25">
      <c r="A30" s="3" t="s">
        <v>28</v>
      </c>
      <c r="B30">
        <v>45.454545454545453</v>
      </c>
    </row>
    <row r="31" spans="1:2" x14ac:dyDescent="0.25">
      <c r="A31" s="3" t="s">
        <v>13</v>
      </c>
      <c r="B31">
        <v>45.2</v>
      </c>
    </row>
    <row r="32" spans="1:2" x14ac:dyDescent="0.25">
      <c r="A32" s="3" t="s">
        <v>36</v>
      </c>
      <c r="B32">
        <v>44</v>
      </c>
    </row>
    <row r="33" spans="1:2" x14ac:dyDescent="0.25">
      <c r="A33" s="3" t="s">
        <v>31</v>
      </c>
      <c r="B33">
        <v>42.333333333333336</v>
      </c>
    </row>
    <row r="34" spans="1:2" x14ac:dyDescent="0.25">
      <c r="A34" s="3" t="s">
        <v>43</v>
      </c>
      <c r="B34">
        <v>42.25</v>
      </c>
    </row>
    <row r="35" spans="1:2" x14ac:dyDescent="0.25">
      <c r="A35" s="3" t="s">
        <v>26</v>
      </c>
      <c r="B35">
        <v>41</v>
      </c>
    </row>
    <row r="36" spans="1:2" x14ac:dyDescent="0.25">
      <c r="A36" s="3" t="s">
        <v>39</v>
      </c>
      <c r="B36">
        <v>41</v>
      </c>
    </row>
    <row r="37" spans="1:2" x14ac:dyDescent="0.25">
      <c r="A37" s="3" t="s">
        <v>35</v>
      </c>
      <c r="B37">
        <v>41</v>
      </c>
    </row>
    <row r="38" spans="1:2" x14ac:dyDescent="0.25">
      <c r="A38" s="3" t="s">
        <v>37</v>
      </c>
      <c r="B38">
        <v>40.625</v>
      </c>
    </row>
    <row r="39" spans="1:2" x14ac:dyDescent="0.25">
      <c r="A39" s="3" t="s">
        <v>29</v>
      </c>
      <c r="B39">
        <v>40</v>
      </c>
    </row>
    <row r="40" spans="1:2" x14ac:dyDescent="0.25">
      <c r="A40" s="3" t="s">
        <v>38</v>
      </c>
      <c r="B40">
        <v>39.166666666666664</v>
      </c>
    </row>
    <row r="41" spans="1:2" x14ac:dyDescent="0.25">
      <c r="A41" s="3" t="s">
        <v>33</v>
      </c>
      <c r="B41">
        <v>38.714285714285715</v>
      </c>
    </row>
    <row r="42" spans="1:2" x14ac:dyDescent="0.25">
      <c r="A42" s="3" t="s">
        <v>34</v>
      </c>
      <c r="B42">
        <v>38.5</v>
      </c>
    </row>
    <row r="43" spans="1:2" x14ac:dyDescent="0.25">
      <c r="A43" s="3" t="s">
        <v>32</v>
      </c>
      <c r="B43">
        <v>35</v>
      </c>
    </row>
    <row r="44" spans="1:2" x14ac:dyDescent="0.25">
      <c r="A44" s="3" t="s">
        <v>41</v>
      </c>
      <c r="B44">
        <v>32</v>
      </c>
    </row>
    <row r="45" spans="1:2" x14ac:dyDescent="0.25">
      <c r="A45" s="3" t="s">
        <v>40</v>
      </c>
      <c r="B45">
        <v>31</v>
      </c>
    </row>
    <row r="46" spans="1:2" x14ac:dyDescent="0.25">
      <c r="A46" s="3" t="s">
        <v>27</v>
      </c>
      <c r="B46">
        <v>29.5</v>
      </c>
    </row>
    <row r="47" spans="1:2" x14ac:dyDescent="0.25">
      <c r="A47" s="3" t="s">
        <v>30</v>
      </c>
      <c r="B47">
        <v>17</v>
      </c>
    </row>
    <row r="48" spans="1:2" x14ac:dyDescent="0.25">
      <c r="A48" s="3" t="s">
        <v>45</v>
      </c>
      <c r="B48">
        <v>53.331111111111113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8F4F-2E7A-4B69-868D-A6CF2464DEA8}">
  <dimension ref="A3:C48"/>
  <sheetViews>
    <sheetView workbookViewId="0">
      <selection activeCell="B4" sqref="B4"/>
    </sheetView>
  </sheetViews>
  <sheetFormatPr defaultRowHeight="15" x14ac:dyDescent="0.25"/>
  <cols>
    <col min="1" max="1" width="20.7109375" bestFit="1" customWidth="1"/>
    <col min="2" max="2" width="14.7109375" bestFit="1" customWidth="1"/>
    <col min="3" max="3" width="13.7109375" bestFit="1" customWidth="1"/>
  </cols>
  <sheetData>
    <row r="3" spans="1:3" x14ac:dyDescent="0.25">
      <c r="A3" s="2" t="s">
        <v>44</v>
      </c>
      <c r="B3" t="s">
        <v>46</v>
      </c>
      <c r="C3" t="s">
        <v>47</v>
      </c>
    </row>
    <row r="4" spans="1:3" x14ac:dyDescent="0.25">
      <c r="A4" s="3" t="s">
        <v>2</v>
      </c>
      <c r="B4">
        <v>1383</v>
      </c>
      <c r="C4">
        <v>1216</v>
      </c>
    </row>
    <row r="5" spans="1:3" x14ac:dyDescent="0.25">
      <c r="A5" s="3" t="s">
        <v>7</v>
      </c>
      <c r="B5">
        <v>1349</v>
      </c>
      <c r="C5">
        <v>1230</v>
      </c>
    </row>
    <row r="6" spans="1:3" x14ac:dyDescent="0.25">
      <c r="A6" s="3" t="s">
        <v>6</v>
      </c>
      <c r="B6">
        <v>1286</v>
      </c>
      <c r="C6">
        <v>1095</v>
      </c>
    </row>
    <row r="7" spans="1:3" x14ac:dyDescent="0.25">
      <c r="A7" s="3" t="s">
        <v>14</v>
      </c>
      <c r="B7">
        <v>1265</v>
      </c>
      <c r="C7">
        <v>1053</v>
      </c>
    </row>
    <row r="8" spans="1:3" x14ac:dyDescent="0.25">
      <c r="A8" s="3" t="s">
        <v>24</v>
      </c>
      <c r="B8">
        <v>1250</v>
      </c>
      <c r="C8">
        <v>1137</v>
      </c>
    </row>
    <row r="9" spans="1:3" x14ac:dyDescent="0.25">
      <c r="A9" s="3" t="s">
        <v>1</v>
      </c>
      <c r="B9">
        <v>1237</v>
      </c>
      <c r="C9">
        <v>1178</v>
      </c>
    </row>
    <row r="10" spans="1:3" x14ac:dyDescent="0.25">
      <c r="A10" s="3" t="s">
        <v>5</v>
      </c>
      <c r="B10">
        <v>1227</v>
      </c>
      <c r="C10">
        <v>1178</v>
      </c>
    </row>
    <row r="11" spans="1:3" x14ac:dyDescent="0.25">
      <c r="A11" s="3" t="s">
        <v>18</v>
      </c>
      <c r="B11">
        <v>1227</v>
      </c>
      <c r="C11">
        <v>1131</v>
      </c>
    </row>
    <row r="12" spans="1:3" x14ac:dyDescent="0.25">
      <c r="A12" s="3" t="s">
        <v>20</v>
      </c>
      <c r="B12">
        <v>1178</v>
      </c>
      <c r="C12">
        <v>1063</v>
      </c>
    </row>
    <row r="13" spans="1:3" x14ac:dyDescent="0.25">
      <c r="A13" s="3" t="s">
        <v>11</v>
      </c>
      <c r="B13">
        <v>1158</v>
      </c>
      <c r="C13">
        <v>1073</v>
      </c>
    </row>
    <row r="14" spans="1:3" x14ac:dyDescent="0.25">
      <c r="A14" s="3" t="s">
        <v>0</v>
      </c>
      <c r="B14">
        <v>1126</v>
      </c>
      <c r="C14">
        <v>1055</v>
      </c>
    </row>
    <row r="15" spans="1:3" x14ac:dyDescent="0.25">
      <c r="A15" s="3" t="s">
        <v>25</v>
      </c>
      <c r="B15">
        <v>1010</v>
      </c>
      <c r="C15">
        <v>935</v>
      </c>
    </row>
    <row r="16" spans="1:3" x14ac:dyDescent="0.25">
      <c r="A16" s="3" t="s">
        <v>16</v>
      </c>
      <c r="B16">
        <v>862</v>
      </c>
      <c r="C16">
        <v>830</v>
      </c>
    </row>
    <row r="17" spans="1:3" x14ac:dyDescent="0.25">
      <c r="A17" s="3" t="s">
        <v>8</v>
      </c>
      <c r="B17">
        <v>769</v>
      </c>
      <c r="C17">
        <v>789</v>
      </c>
    </row>
    <row r="18" spans="1:3" x14ac:dyDescent="0.25">
      <c r="A18" s="3" t="s">
        <v>4</v>
      </c>
      <c r="B18">
        <v>718</v>
      </c>
      <c r="C18">
        <v>693</v>
      </c>
    </row>
    <row r="19" spans="1:3" x14ac:dyDescent="0.25">
      <c r="A19" s="3" t="s">
        <v>23</v>
      </c>
      <c r="B19">
        <v>555</v>
      </c>
      <c r="C19">
        <v>529</v>
      </c>
    </row>
    <row r="20" spans="1:3" x14ac:dyDescent="0.25">
      <c r="A20" s="3" t="s">
        <v>10</v>
      </c>
      <c r="B20">
        <v>550</v>
      </c>
      <c r="C20">
        <v>530</v>
      </c>
    </row>
    <row r="21" spans="1:3" x14ac:dyDescent="0.25">
      <c r="A21" s="3" t="s">
        <v>15</v>
      </c>
      <c r="B21">
        <v>515</v>
      </c>
      <c r="C21">
        <v>537</v>
      </c>
    </row>
    <row r="22" spans="1:3" x14ac:dyDescent="0.25">
      <c r="A22" s="3" t="s">
        <v>28</v>
      </c>
      <c r="B22">
        <v>500</v>
      </c>
      <c r="C22">
        <v>463</v>
      </c>
    </row>
    <row r="23" spans="1:3" x14ac:dyDescent="0.25">
      <c r="A23" s="3" t="s">
        <v>22</v>
      </c>
      <c r="B23">
        <v>471</v>
      </c>
      <c r="C23">
        <v>427</v>
      </c>
    </row>
    <row r="24" spans="1:3" x14ac:dyDescent="0.25">
      <c r="A24" s="3" t="s">
        <v>19</v>
      </c>
      <c r="B24">
        <v>432</v>
      </c>
      <c r="C24">
        <v>414</v>
      </c>
    </row>
    <row r="25" spans="1:3" x14ac:dyDescent="0.25">
      <c r="A25" s="3" t="s">
        <v>17</v>
      </c>
      <c r="B25">
        <v>379</v>
      </c>
      <c r="C25">
        <v>381</v>
      </c>
    </row>
    <row r="26" spans="1:3" x14ac:dyDescent="0.25">
      <c r="A26" s="3" t="s">
        <v>37</v>
      </c>
      <c r="B26">
        <v>325</v>
      </c>
      <c r="C26">
        <v>317</v>
      </c>
    </row>
    <row r="27" spans="1:3" x14ac:dyDescent="0.25">
      <c r="A27" s="3" t="s">
        <v>36</v>
      </c>
      <c r="B27">
        <v>308</v>
      </c>
      <c r="C27">
        <v>277</v>
      </c>
    </row>
    <row r="28" spans="1:3" x14ac:dyDescent="0.25">
      <c r="A28" s="3" t="s">
        <v>9</v>
      </c>
      <c r="B28">
        <v>304</v>
      </c>
      <c r="C28">
        <v>312</v>
      </c>
    </row>
    <row r="29" spans="1:3" x14ac:dyDescent="0.25">
      <c r="A29" s="3" t="s">
        <v>39</v>
      </c>
      <c r="B29">
        <v>287</v>
      </c>
      <c r="C29">
        <v>261</v>
      </c>
    </row>
    <row r="30" spans="1:3" x14ac:dyDescent="0.25">
      <c r="A30" s="3" t="s">
        <v>33</v>
      </c>
      <c r="B30">
        <v>271</v>
      </c>
      <c r="C30">
        <v>274</v>
      </c>
    </row>
    <row r="31" spans="1:3" x14ac:dyDescent="0.25">
      <c r="A31" s="3" t="s">
        <v>42</v>
      </c>
      <c r="B31">
        <v>259</v>
      </c>
      <c r="C31">
        <v>247</v>
      </c>
    </row>
    <row r="32" spans="1:3" x14ac:dyDescent="0.25">
      <c r="A32" s="3" t="s">
        <v>38</v>
      </c>
      <c r="B32">
        <v>235</v>
      </c>
      <c r="C32">
        <v>227</v>
      </c>
    </row>
    <row r="33" spans="1:3" x14ac:dyDescent="0.25">
      <c r="A33" s="3" t="s">
        <v>13</v>
      </c>
      <c r="B33">
        <v>226</v>
      </c>
      <c r="C33">
        <v>237</v>
      </c>
    </row>
    <row r="34" spans="1:3" x14ac:dyDescent="0.25">
      <c r="A34" s="3" t="s">
        <v>3</v>
      </c>
      <c r="B34">
        <v>215</v>
      </c>
      <c r="C34">
        <v>209</v>
      </c>
    </row>
    <row r="35" spans="1:3" x14ac:dyDescent="0.25">
      <c r="A35" s="3" t="s">
        <v>29</v>
      </c>
      <c r="B35">
        <v>200</v>
      </c>
      <c r="C35">
        <v>224</v>
      </c>
    </row>
    <row r="36" spans="1:3" x14ac:dyDescent="0.25">
      <c r="A36" s="3" t="s">
        <v>43</v>
      </c>
      <c r="B36">
        <v>169</v>
      </c>
      <c r="C36">
        <v>134</v>
      </c>
    </row>
    <row r="37" spans="1:3" x14ac:dyDescent="0.25">
      <c r="A37" s="3" t="s">
        <v>12</v>
      </c>
      <c r="B37">
        <v>147</v>
      </c>
      <c r="C37">
        <v>140</v>
      </c>
    </row>
    <row r="38" spans="1:3" x14ac:dyDescent="0.25">
      <c r="A38" s="3" t="s">
        <v>21</v>
      </c>
      <c r="B38">
        <v>146</v>
      </c>
      <c r="C38">
        <v>193</v>
      </c>
    </row>
    <row r="39" spans="1:3" x14ac:dyDescent="0.25">
      <c r="A39" s="3" t="s">
        <v>31</v>
      </c>
      <c r="B39">
        <v>127</v>
      </c>
      <c r="C39">
        <v>137</v>
      </c>
    </row>
    <row r="40" spans="1:3" x14ac:dyDescent="0.25">
      <c r="A40" s="3" t="s">
        <v>34</v>
      </c>
      <c r="B40">
        <v>77</v>
      </c>
      <c r="C40">
        <v>98</v>
      </c>
    </row>
    <row r="41" spans="1:3" x14ac:dyDescent="0.25">
      <c r="A41" s="3" t="s">
        <v>27</v>
      </c>
      <c r="B41">
        <v>59</v>
      </c>
      <c r="C41">
        <v>86</v>
      </c>
    </row>
    <row r="42" spans="1:3" x14ac:dyDescent="0.25">
      <c r="A42" s="3" t="s">
        <v>26</v>
      </c>
      <c r="B42">
        <v>41</v>
      </c>
      <c r="C42">
        <v>47</v>
      </c>
    </row>
    <row r="43" spans="1:3" x14ac:dyDescent="0.25">
      <c r="A43" s="3" t="s">
        <v>35</v>
      </c>
      <c r="B43">
        <v>41</v>
      </c>
      <c r="C43">
        <v>46</v>
      </c>
    </row>
    <row r="44" spans="1:3" x14ac:dyDescent="0.25">
      <c r="A44" s="3" t="s">
        <v>32</v>
      </c>
      <c r="B44">
        <v>35</v>
      </c>
      <c r="C44">
        <v>37</v>
      </c>
    </row>
    <row r="45" spans="1:3" x14ac:dyDescent="0.25">
      <c r="A45" s="3" t="s">
        <v>41</v>
      </c>
      <c r="B45">
        <v>32</v>
      </c>
      <c r="C45">
        <v>24</v>
      </c>
    </row>
    <row r="46" spans="1:3" x14ac:dyDescent="0.25">
      <c r="A46" s="3" t="s">
        <v>40</v>
      </c>
      <c r="B46">
        <v>31</v>
      </c>
      <c r="C46">
        <v>26</v>
      </c>
    </row>
    <row r="47" spans="1:3" x14ac:dyDescent="0.25">
      <c r="A47" s="3" t="s">
        <v>30</v>
      </c>
      <c r="B47">
        <v>17</v>
      </c>
      <c r="C47">
        <v>24</v>
      </c>
    </row>
    <row r="48" spans="1:3" x14ac:dyDescent="0.25">
      <c r="A48" s="3" t="s">
        <v>45</v>
      </c>
      <c r="B48">
        <v>23999</v>
      </c>
      <c r="C48">
        <v>22514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441C-DBAD-4AB2-9F6E-C2A9A7290048}">
  <dimension ref="A2:C45"/>
  <sheetViews>
    <sheetView workbookViewId="0">
      <selection activeCell="M56" sqref="M56"/>
    </sheetView>
  </sheetViews>
  <sheetFormatPr defaultRowHeight="15" x14ac:dyDescent="0.25"/>
  <cols>
    <col min="1" max="3" width="9.140625" customWidth="1"/>
  </cols>
  <sheetData>
    <row r="2" spans="1:3" x14ac:dyDescent="0.25">
      <c r="A2" t="s">
        <v>38</v>
      </c>
      <c r="B2">
        <v>235</v>
      </c>
      <c r="C2">
        <v>227</v>
      </c>
    </row>
    <row r="3" spans="1:3" x14ac:dyDescent="0.25">
      <c r="A3" t="s">
        <v>30</v>
      </c>
      <c r="B3">
        <v>17</v>
      </c>
      <c r="C3">
        <v>24</v>
      </c>
    </row>
    <row r="4" spans="1:3" x14ac:dyDescent="0.25">
      <c r="A4" t="s">
        <v>11</v>
      </c>
      <c r="B4">
        <v>1158</v>
      </c>
      <c r="C4">
        <v>1073</v>
      </c>
    </row>
    <row r="5" spans="1:3" x14ac:dyDescent="0.25">
      <c r="A5" t="s">
        <v>37</v>
      </c>
      <c r="B5">
        <v>325</v>
      </c>
      <c r="C5">
        <v>317</v>
      </c>
    </row>
    <row r="6" spans="1:3" x14ac:dyDescent="0.25">
      <c r="A6" t="s">
        <v>5</v>
      </c>
      <c r="B6">
        <v>1227</v>
      </c>
      <c r="C6">
        <v>1178</v>
      </c>
    </row>
    <row r="7" spans="1:3" x14ac:dyDescent="0.25">
      <c r="A7" t="s">
        <v>33</v>
      </c>
      <c r="B7">
        <v>271</v>
      </c>
      <c r="C7">
        <v>274</v>
      </c>
    </row>
    <row r="8" spans="1:3" x14ac:dyDescent="0.25">
      <c r="A8" t="s">
        <v>23</v>
      </c>
      <c r="B8">
        <v>555</v>
      </c>
      <c r="C8">
        <v>529</v>
      </c>
    </row>
    <row r="9" spans="1:3" x14ac:dyDescent="0.25">
      <c r="A9" t="s">
        <v>25</v>
      </c>
      <c r="B9">
        <v>1010</v>
      </c>
      <c r="C9">
        <v>935</v>
      </c>
    </row>
    <row r="10" spans="1:3" x14ac:dyDescent="0.25">
      <c r="A10" t="s">
        <v>26</v>
      </c>
      <c r="B10">
        <v>41</v>
      </c>
      <c r="C10">
        <v>47</v>
      </c>
    </row>
    <row r="11" spans="1:3" x14ac:dyDescent="0.25">
      <c r="A11" t="s">
        <v>36</v>
      </c>
      <c r="B11">
        <v>308</v>
      </c>
      <c r="C11">
        <v>277</v>
      </c>
    </row>
    <row r="12" spans="1:3" x14ac:dyDescent="0.25">
      <c r="A12" t="s">
        <v>39</v>
      </c>
      <c r="B12">
        <v>287</v>
      </c>
      <c r="C12">
        <v>261</v>
      </c>
    </row>
    <row r="13" spans="1:3" x14ac:dyDescent="0.25">
      <c r="A13" t="s">
        <v>14</v>
      </c>
      <c r="B13">
        <v>1265</v>
      </c>
      <c r="C13">
        <v>1053</v>
      </c>
    </row>
    <row r="14" spans="1:3" x14ac:dyDescent="0.25">
      <c r="A14" t="s">
        <v>4</v>
      </c>
      <c r="B14">
        <v>718</v>
      </c>
      <c r="C14">
        <v>693</v>
      </c>
    </row>
    <row r="15" spans="1:3" x14ac:dyDescent="0.25">
      <c r="A15" t="s">
        <v>13</v>
      </c>
      <c r="B15">
        <v>226</v>
      </c>
      <c r="C15">
        <v>237</v>
      </c>
    </row>
    <row r="16" spans="1:3" x14ac:dyDescent="0.25">
      <c r="A16" t="s">
        <v>0</v>
      </c>
      <c r="B16">
        <v>1126</v>
      </c>
      <c r="C16">
        <v>1055</v>
      </c>
    </row>
    <row r="17" spans="1:3" x14ac:dyDescent="0.25">
      <c r="A17" t="s">
        <v>41</v>
      </c>
      <c r="B17">
        <v>32</v>
      </c>
      <c r="C17">
        <v>24</v>
      </c>
    </row>
    <row r="18" spans="1:3" x14ac:dyDescent="0.25">
      <c r="A18" t="s">
        <v>43</v>
      </c>
      <c r="B18">
        <v>169</v>
      </c>
      <c r="C18">
        <v>134</v>
      </c>
    </row>
    <row r="19" spans="1:3" x14ac:dyDescent="0.25">
      <c r="A19" t="s">
        <v>10</v>
      </c>
      <c r="B19">
        <v>550</v>
      </c>
      <c r="C19">
        <v>530</v>
      </c>
    </row>
    <row r="20" spans="1:3" x14ac:dyDescent="0.25">
      <c r="A20" t="s">
        <v>7</v>
      </c>
      <c r="B20">
        <v>1349</v>
      </c>
      <c r="C20">
        <v>1230</v>
      </c>
    </row>
    <row r="21" spans="1:3" x14ac:dyDescent="0.25">
      <c r="A21" t="s">
        <v>18</v>
      </c>
      <c r="B21">
        <v>1227</v>
      </c>
      <c r="C21">
        <v>1131</v>
      </c>
    </row>
    <row r="22" spans="1:3" x14ac:dyDescent="0.25">
      <c r="A22" t="s">
        <v>22</v>
      </c>
      <c r="B22">
        <v>471</v>
      </c>
      <c r="C22">
        <v>427</v>
      </c>
    </row>
    <row r="23" spans="1:3" x14ac:dyDescent="0.25">
      <c r="A23" t="s">
        <v>8</v>
      </c>
      <c r="B23">
        <v>769</v>
      </c>
      <c r="C23">
        <v>789</v>
      </c>
    </row>
    <row r="24" spans="1:3" x14ac:dyDescent="0.25">
      <c r="A24" t="s">
        <v>20</v>
      </c>
      <c r="B24">
        <v>1178</v>
      </c>
      <c r="C24">
        <v>1063</v>
      </c>
    </row>
    <row r="25" spans="1:3" x14ac:dyDescent="0.25">
      <c r="A25" t="s">
        <v>34</v>
      </c>
      <c r="B25">
        <v>77</v>
      </c>
      <c r="C25">
        <v>98</v>
      </c>
    </row>
    <row r="26" spans="1:3" x14ac:dyDescent="0.25">
      <c r="A26" t="s">
        <v>12</v>
      </c>
      <c r="B26">
        <v>147</v>
      </c>
      <c r="C26">
        <v>140</v>
      </c>
    </row>
    <row r="27" spans="1:3" x14ac:dyDescent="0.25">
      <c r="A27" t="s">
        <v>6</v>
      </c>
      <c r="B27">
        <v>1286</v>
      </c>
      <c r="C27">
        <v>1095</v>
      </c>
    </row>
    <row r="28" spans="1:3" x14ac:dyDescent="0.25">
      <c r="A28" t="s">
        <v>32</v>
      </c>
      <c r="B28">
        <v>35</v>
      </c>
      <c r="C28">
        <v>37</v>
      </c>
    </row>
    <row r="29" spans="1:3" x14ac:dyDescent="0.25">
      <c r="A29" t="s">
        <v>40</v>
      </c>
      <c r="B29">
        <v>31</v>
      </c>
      <c r="C29">
        <v>26</v>
      </c>
    </row>
    <row r="30" spans="1:3" x14ac:dyDescent="0.25">
      <c r="A30" t="s">
        <v>17</v>
      </c>
      <c r="B30">
        <v>379</v>
      </c>
      <c r="C30">
        <v>381</v>
      </c>
    </row>
    <row r="31" spans="1:3" x14ac:dyDescent="0.25">
      <c r="A31" t="s">
        <v>29</v>
      </c>
      <c r="B31">
        <v>200</v>
      </c>
      <c r="C31">
        <v>224</v>
      </c>
    </row>
    <row r="32" spans="1:3" x14ac:dyDescent="0.25">
      <c r="A32" t="s">
        <v>24</v>
      </c>
      <c r="B32">
        <v>1250</v>
      </c>
      <c r="C32">
        <v>1137</v>
      </c>
    </row>
    <row r="33" spans="1:3" x14ac:dyDescent="0.25">
      <c r="A33" t="s">
        <v>9</v>
      </c>
      <c r="B33">
        <v>304</v>
      </c>
      <c r="C33">
        <v>312</v>
      </c>
    </row>
    <row r="34" spans="1:3" x14ac:dyDescent="0.25">
      <c r="A34" t="s">
        <v>21</v>
      </c>
      <c r="B34">
        <v>146</v>
      </c>
      <c r="C34">
        <v>193</v>
      </c>
    </row>
    <row r="35" spans="1:3" x14ac:dyDescent="0.25">
      <c r="A35" t="s">
        <v>19</v>
      </c>
      <c r="B35">
        <v>432</v>
      </c>
      <c r="C35">
        <v>414</v>
      </c>
    </row>
    <row r="36" spans="1:3" x14ac:dyDescent="0.25">
      <c r="A36" t="s">
        <v>31</v>
      </c>
      <c r="B36">
        <v>127</v>
      </c>
      <c r="C36">
        <v>137</v>
      </c>
    </row>
    <row r="37" spans="1:3" x14ac:dyDescent="0.25">
      <c r="A37" t="s">
        <v>42</v>
      </c>
      <c r="B37">
        <v>259</v>
      </c>
      <c r="C37">
        <v>247</v>
      </c>
    </row>
    <row r="38" spans="1:3" x14ac:dyDescent="0.25">
      <c r="A38" t="s">
        <v>3</v>
      </c>
      <c r="B38">
        <v>215</v>
      </c>
      <c r="C38">
        <v>209</v>
      </c>
    </row>
    <row r="39" spans="1:3" x14ac:dyDescent="0.25">
      <c r="A39" t="s">
        <v>2</v>
      </c>
      <c r="B39">
        <v>1383</v>
      </c>
      <c r="C39">
        <v>1216</v>
      </c>
    </row>
    <row r="40" spans="1:3" x14ac:dyDescent="0.25">
      <c r="A40" t="s">
        <v>27</v>
      </c>
      <c r="B40">
        <v>59</v>
      </c>
      <c r="C40">
        <v>86</v>
      </c>
    </row>
    <row r="41" spans="1:3" x14ac:dyDescent="0.25">
      <c r="A41" t="s">
        <v>35</v>
      </c>
      <c r="B41">
        <v>41</v>
      </c>
      <c r="C41">
        <v>46</v>
      </c>
    </row>
    <row r="42" spans="1:3" x14ac:dyDescent="0.25">
      <c r="A42" t="s">
        <v>1</v>
      </c>
      <c r="B42">
        <v>1237</v>
      </c>
      <c r="C42">
        <v>1178</v>
      </c>
    </row>
    <row r="43" spans="1:3" x14ac:dyDescent="0.25">
      <c r="A43" t="s">
        <v>28</v>
      </c>
      <c r="B43">
        <v>500</v>
      </c>
      <c r="C43">
        <v>463</v>
      </c>
    </row>
    <row r="44" spans="1:3" x14ac:dyDescent="0.25">
      <c r="A44" t="s">
        <v>16</v>
      </c>
      <c r="B44">
        <v>862</v>
      </c>
      <c r="C44">
        <v>830</v>
      </c>
    </row>
    <row r="45" spans="1:3" x14ac:dyDescent="0.25">
      <c r="A45" t="s">
        <v>15</v>
      </c>
      <c r="B45">
        <v>515</v>
      </c>
      <c r="C45">
        <v>537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brasileirao</vt:lpstr>
      <vt:lpstr>Soma de Pontos</vt:lpstr>
      <vt:lpstr>Gols</vt:lpstr>
      <vt:lpstr>Gols Tomados</vt:lpstr>
      <vt:lpstr>Saldo de Gols</vt:lpstr>
      <vt:lpstr>Média de Pontos</vt:lpstr>
      <vt:lpstr>Compara Gol e Pontos</vt:lpstr>
      <vt:lpstr>Grafico Comparaçao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João Vitor Rulff Vargas da Silva</cp:lastModifiedBy>
  <dcterms:created xsi:type="dcterms:W3CDTF">2026-04-15T13:42:17Z</dcterms:created>
  <dcterms:modified xsi:type="dcterms:W3CDTF">2026-04-27T18:59:58Z</dcterms:modified>
</cp:coreProperties>
</file>